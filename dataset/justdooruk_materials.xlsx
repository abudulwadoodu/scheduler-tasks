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<sst xmlns="http://schemas.openxmlformats.org/spreadsheetml/2006/main" count="1004" uniqueCount="341">
  <si>
    <t>Code</t>
  </si>
  <si>
    <t>Description</t>
  </si>
  <si>
    <t>Type</t>
  </si>
  <si>
    <t xml:space="preserve">Unit
</t>
  </si>
  <si>
    <t>Rate £</t>
  </si>
  <si>
    <t>Extracted Price</t>
  </si>
  <si>
    <t>New Rate (ex VAT)</t>
  </si>
  <si>
    <t>New Rate INCL VAT)</t>
  </si>
  <si>
    <t>% change</t>
  </si>
  <si>
    <t>Discount</t>
  </si>
  <si>
    <t>Wastage</t>
  </si>
  <si>
    <t>Cost Code</t>
  </si>
  <si>
    <t>Supplier Code</t>
  </si>
  <si>
    <t>Supplier</t>
  </si>
  <si>
    <t>URL</t>
  </si>
  <si>
    <t>Comments</t>
  </si>
  <si>
    <t xml:space="preserve">Source
</t>
  </si>
  <si>
    <t>Web</t>
  </si>
  <si>
    <t>15660100</t>
  </si>
  <si>
    <t>White UPVC windows with one fixed light 630 x 600mm (style 1) inc standard cill, A energy rated trickle vent and fit pack</t>
  </si>
  <si>
    <t>each</t>
  </si>
  <si>
    <t/>
  </si>
  <si>
    <t>22</t>
  </si>
  <si>
    <t>UPVC Casement windows Style 1</t>
  </si>
  <si>
    <t>www.justdoors.co.uk</t>
  </si>
  <si>
    <t>https://www.justdoorsuk.com/window-order.php?product=white-window-style-1</t>
  </si>
  <si>
    <t xml:space="preserve">Style 1 - 150mm standard cill, white, Clear, A Triple glazed with trickle vents (1) and fit pack Update Apr 24 ce shown prices inc vat  Deduct VAT added/Use URL to access and drop down lists for all styles Note Vents qty in description/comments </t>
  </si>
  <si>
    <t>15660102</t>
  </si>
  <si>
    <r>
      <rPr>
        <rFont val="Caxton Bk BT"/>
        <color rgb="FF000000"/>
        <sz val="9.0"/>
      </rPr>
      <t>White UPVC windows with one fixed light 630 x 900mm (style 1) inc standard cill, A energy rated trickle vent and fit pack</t>
    </r>
  </si>
  <si>
    <t>Style 1 - 150mm standard cill, white, Clear, A Triple glazed with trickle vents (1) and fit pack Update Apr 24 ce shown prices inc vat Deduct VAT</t>
  </si>
  <si>
    <t>15660104</t>
  </si>
  <si>
    <r>
      <rPr>
        <rFont val="Caxton Bk BT"/>
        <color rgb="FF000000"/>
        <sz val="9.0"/>
      </rPr>
      <t>White UPVC windows with one fixed light 630 x 1200mm (style 1) inc standard cill, A energy rated trickle vent and fit pack</t>
    </r>
  </si>
  <si>
    <t>15660106</t>
  </si>
  <si>
    <r>
      <rPr>
        <rFont val="Caxton Bk BT"/>
        <color rgb="FF000000"/>
        <sz val="9.0"/>
      </rPr>
      <t>White UPVC windows with one fixed light 630 x 1350mm (style 1) inc standard cill, A energy rated trickle vent and fit pack</t>
    </r>
  </si>
  <si>
    <t>15660108</t>
  </si>
  <si>
    <r>
      <rPr>
        <rFont val="Caxton Bk BT"/>
        <color rgb="FF000000"/>
        <sz val="9.0"/>
      </rPr>
      <t>White UPVC windows with one fixed light 1200 x 600mm (style 1) inc standard cill, A energy rated 2 trickle vents and fit pack</t>
    </r>
  </si>
  <si>
    <t>Style 1 - 150mm standard cill, white, Clear, A Triple glazed with trickle vents (2) and fit pack Update Apr 24 ce shown prices inc vat Deduct VAT</t>
  </si>
  <si>
    <t>15660110</t>
  </si>
  <si>
    <r>
      <rPr>
        <rFont val="Caxton Bk BT"/>
        <color rgb="FF000000"/>
        <sz val="9.0"/>
      </rPr>
      <t>White UPVC windows with one fixed light 1200 x 900mm (style 1) inc standard cill, A energy rated 2 trickle vents and fit pack</t>
    </r>
  </si>
  <si>
    <t>15660112</t>
  </si>
  <si>
    <r>
      <rPr>
        <rFont val="Caxton Bk BT"/>
        <color rgb="FF000000"/>
        <sz val="9.0"/>
      </rPr>
      <t>White UPVC windows with one fixed light 1200 x 1200mm (style 1) inc standard cill, A energy rated 2 trickle vents and fit pack</t>
    </r>
  </si>
  <si>
    <t>15660114</t>
  </si>
  <si>
    <r>
      <rPr>
        <rFont val="Caxton Bk BT"/>
        <color rgb="FF000000"/>
        <sz val="9.0"/>
      </rPr>
      <t>White UPVC windows with one fixed light 1200 x 1350mm (style 1) inc standard cill, A energy rated 2 trickle vents and fit pack</t>
    </r>
  </si>
  <si>
    <t>15660116</t>
  </si>
  <si>
    <r>
      <rPr>
        <rFont val="Caxton Bk BT"/>
        <color rgb="FF000000"/>
        <sz val="9.0"/>
      </rPr>
      <t>White UPVC windows with one opening light 630 x 600mm (style 4) inc standard cill, A energy rated trickle vent and fit pack</t>
    </r>
  </si>
  <si>
    <t>UPVC Casement windows  Style 4</t>
  </si>
  <si>
    <t>https://www.justdoorsuk.com/window-order.php?product=white-window-style-4</t>
  </si>
  <si>
    <t xml:space="preserve">Style 4 150mm standard cill, white, Clear, A Triple glazed with trickle vents  (1) and fit pack Update Apr 24 ce shown prices inc vat Deduct VAT </t>
  </si>
  <si>
    <t>15660118</t>
  </si>
  <si>
    <r>
      <rPr>
        <rFont val="Caxton Bk BT"/>
        <color rgb="FF000000"/>
        <sz val="9.0"/>
      </rPr>
      <t>White UPVC windows with one opening light 630 x 900mm (style 4) inc standard cill, A energy rated trickle vent and fit pack</t>
    </r>
  </si>
  <si>
    <t>15660120</t>
  </si>
  <si>
    <r>
      <rPr>
        <rFont val="Caxton Bk BT"/>
        <color rgb="FF000000"/>
        <sz val="9.0"/>
      </rPr>
      <t>White UPVC windows with one opening light 900 x 600mm (style 3) inc standard cill, A energy rated trickle vent and fit pack</t>
    </r>
  </si>
  <si>
    <t>UPVC Casement windows Style3</t>
  </si>
  <si>
    <t>https://www.justdoorsuk.com/window-order.php?product=white-window-style-3</t>
  </si>
  <si>
    <t xml:space="preserve">Style 3 - 150mm standard cill, white, Clear, A Triple glazed with trickle vents (1) and fit pack Update Apr 24 ce shown prices inc vat Deduct VAT </t>
  </si>
  <si>
    <t>15660122</t>
  </si>
  <si>
    <r>
      <rPr>
        <rFont val="Caxton Bk BT"/>
        <color rgb="FF000000"/>
        <sz val="9.0"/>
      </rPr>
      <t>White UPVC windows with one opening light 900 x 900mm (style 3) inc standard cill, A energy rated trickle vent and fit pack</t>
    </r>
  </si>
  <si>
    <t>15660124</t>
  </si>
  <si>
    <r>
      <rPr>
        <rFont val="Caxton Bk BT"/>
        <color rgb="FF000000"/>
        <sz val="9.0"/>
      </rPr>
      <t>White UPVC windows with one opening light 1200 x 600mm (style 3) inc standard cill, A energy rated 2 trickle vents and fit pack</t>
    </r>
  </si>
  <si>
    <t xml:space="preserve">Style 3 - 150mm standard cill, white, Clear, A Triple glazed with trickle vents (2) and fit pack Update Apr 24 ce shown prices inc vat Deduct VAT </t>
  </si>
  <si>
    <t>15660126</t>
  </si>
  <si>
    <r>
      <rPr>
        <rFont val="Caxton Bk BT"/>
        <color rgb="FF000000"/>
        <sz val="9.0"/>
      </rPr>
      <t>White UPVC windows with one opening light 1200 x 900mm (style 3) inc standard cill, A energy rated 2 trickle vents and fit pack</t>
    </r>
  </si>
  <si>
    <t>15660128</t>
  </si>
  <si>
    <r>
      <rPr>
        <rFont val="Caxton Bk BT"/>
        <color rgb="FF000000"/>
        <sz val="9.0"/>
      </rPr>
      <t>White UPVC windows with one opening light 630 x 1200mm (style 4) inc standard cill, A energy rated trickle vent and fit pack</t>
    </r>
  </si>
  <si>
    <t xml:space="preserve">Style 4- 150mm standard cill, white, Clear, A Triple glazed with trickle vents (1) and fit pack Update Apr 24 ce shown prices inc vat Deduct VAT </t>
  </si>
  <si>
    <t>15660130</t>
  </si>
  <si>
    <r>
      <rPr>
        <rFont val="Caxton Bk BT"/>
        <color rgb="FF000000"/>
        <sz val="9.0"/>
      </rPr>
      <t>White UPVC windows with one opening light and one fixed light 630 x 900mm (style 6) inc standard cill, A energy rated trickle vent and fit pack</t>
    </r>
  </si>
  <si>
    <t>UPVC Casement windows  Style 6</t>
  </si>
  <si>
    <t>https://www.justdoorsuk.com/window-order.php?product=white-window-style-6</t>
  </si>
  <si>
    <t>style 6- 150mm standard cill, white, Clear, A Triple glazed with trickle vents (1) and fit pack Update Apr 24 ce shown prices inc vat deduct VAT</t>
  </si>
  <si>
    <t>15660132</t>
  </si>
  <si>
    <r>
      <rPr>
        <rFont val="Caxton Bk BT"/>
        <color rgb="FF000000"/>
        <sz val="9.0"/>
      </rPr>
      <t>White UPVC windows with one opening light and one fixed light 630 x 1200mm (style 6) inc standard cill, A energy rated trickle vent and fit pack</t>
    </r>
  </si>
  <si>
    <t>15660134</t>
  </si>
  <si>
    <r>
      <rPr>
        <rFont val="Caxton Bk BT"/>
        <color rgb="FF000000"/>
        <sz val="9.0"/>
      </rPr>
      <t>White UPVC windows with one opening light and one fixed light 630 x 1400mm (style 6) inc standard cill, A energy rated trickle vent and fit pack</t>
    </r>
  </si>
  <si>
    <t>15660136</t>
  </si>
  <si>
    <r>
      <rPr>
        <rFont val="Caxton Bk BT"/>
        <color rgb="FF000000"/>
        <sz val="9.0"/>
      </rPr>
      <t>White UPVC windows with one opening light and one fixed light 900 x 1200mm (style 6) inc standard cill, A energy rated trickle vent and fit pack</t>
    </r>
  </si>
  <si>
    <t>15660138</t>
  </si>
  <si>
    <r>
      <rPr>
        <rFont val="Caxton Bk BT"/>
        <color rgb="FF000000"/>
        <sz val="9.0"/>
      </rPr>
      <t>White UPVC windows with one opening light and one fixed light 900 x 1400mm (style 6) inc standard cill, A energy rated trickle vent and fit pack</t>
    </r>
  </si>
  <si>
    <t>15660140</t>
  </si>
  <si>
    <r>
      <rPr>
        <rFont val="Caxton Bk BT"/>
        <color rgb="FF000000"/>
        <sz val="9.0"/>
      </rPr>
      <t>White UPVC windows with one opening light and one fixed light 1200 x 1200mm (style 6) inc standard cill, A energy rated trickle vent and fit pack</t>
    </r>
  </si>
  <si>
    <t>15660142</t>
  </si>
  <si>
    <r>
      <rPr>
        <rFont val="Caxton Bk BT"/>
        <color rgb="FF000000"/>
        <sz val="9.0"/>
      </rPr>
      <t>White UPVC windows with one opening light and one fixed light 1200 x 1500mm (style 6) inc standard cill, A energy rated trickle vent and fit pack</t>
    </r>
  </si>
  <si>
    <t>15660144</t>
  </si>
  <si>
    <r>
      <rPr>
        <rFont val="Caxton Bk BT"/>
        <color rgb="FF000000"/>
        <sz val="9.0"/>
      </rPr>
      <t>White UPVC windows with one opening light and one fixed light 1200 x 750mm (style 6) inc standard cill, A energy rated 2 trickle vents and fit pack</t>
    </r>
  </si>
  <si>
    <t>Style 6 -150mm standard cill, white, Clear, A Triple glazed with trickle vents (2) and fit pack Update Apr 24 ce shown prices inc vat deduct VAT</t>
  </si>
  <si>
    <t>15660146</t>
  </si>
  <si>
    <r>
      <rPr>
        <rFont val="Caxton Bk BT"/>
        <color rgb="FF000000"/>
        <sz val="9.0"/>
      </rPr>
      <t>White UPVC windows with one opening light and one fixed light 1200 x 900mm (style 6) inc standard cill, A energy rated 2 trickle vents and fit pack</t>
    </r>
  </si>
  <si>
    <t>15660148</t>
  </si>
  <si>
    <r>
      <rPr>
        <rFont val="Caxton Bk BT"/>
        <color rgb="FF000000"/>
        <sz val="9.0"/>
      </rPr>
      <t>White UPVC windows with one opening light and one fixed light 1780 x 600mm (style18) inc standard cill, A energy rated 2 trickle vents and fit pack</t>
    </r>
  </si>
  <si>
    <t>UPVC Casement windows  Style 18</t>
  </si>
  <si>
    <t>https://www.justdoorsuk.com/window-order.php?product=white-window-style-18</t>
  </si>
  <si>
    <t>Style 18 -150mm standard cill, white, Clear, A Triple glazed with trickle vents (2)  and fit pack  Update Apr 24 ce shown prices inc vat deduct VAT</t>
  </si>
  <si>
    <t>15660150</t>
  </si>
  <si>
    <r>
      <rPr>
        <rFont val="Caxton Bk BT"/>
        <color rgb="FF000000"/>
        <sz val="9.0"/>
      </rPr>
      <t>White UPVC windows with one opening light and one fixed light 1780 x 900mm (style18) inc standard cill, A energy rated 2 trickle vents and fit pack</t>
    </r>
  </si>
  <si>
    <t>15660152</t>
  </si>
  <si>
    <r>
      <rPr>
        <rFont val="Caxton Bk BT"/>
        <color rgb="FF000000"/>
        <sz val="9.0"/>
      </rPr>
      <t>White UPVC windows with one opening light and two fixed lights 1780 x 1200mm (style 89) inc standard cill, A energy rated 2 trickle vents and fit pack</t>
    </r>
  </si>
  <si>
    <t>UPVC Casement windows  Style 89</t>
  </si>
  <si>
    <t>https://www.justdoorsuk.com/window-order.php?product=white-window-style-89</t>
  </si>
  <si>
    <t>Style 89- 150mm standard cill, white, Clear, A Triple glazed with trickle vents (2) and fit pack  Update Apr 24 ce shown prices inc vat deduct VAT</t>
  </si>
  <si>
    <t>15660154</t>
  </si>
  <si>
    <r>
      <rPr>
        <rFont val="Caxton Bk BT"/>
        <color rgb="FF000000"/>
        <sz val="9.0"/>
      </rPr>
      <t>White UPVC windows with one opening light and two fixed lights 1780 x 1500mm (style 89) inc standard cill, A energy rated 2 trickle vents and fit pack</t>
    </r>
  </si>
  <si>
    <t>15660156</t>
  </si>
  <si>
    <r>
      <rPr>
        <rFont val="Caxton Bk BT"/>
        <color rgb="FF000000"/>
        <sz val="9.0"/>
      </rPr>
      <t>White UPVC windows with two opening lights and one fixed light 1200 x 900mm (style 20) inc standard cill, A energy rated 2 trickle vents and fit pack</t>
    </r>
  </si>
  <si>
    <t>UPVC Casement windows  Style 20</t>
  </si>
  <si>
    <t>https://www.justdoorsuk.com/window-order.php?product=white-window-style-20</t>
  </si>
  <si>
    <t>Style20- 150mm standard cill, white, Clear, A Triple glazed with trickle vents (2)and fit pack  Update Apr 24 ce shown prices inc vat deduct VAT</t>
  </si>
  <si>
    <t>15660158</t>
  </si>
  <si>
    <r>
      <rPr>
        <rFont val="Caxton Bk BT"/>
        <color rgb="FF000000"/>
        <sz val="9.0"/>
      </rPr>
      <t>White UPVC windows with two opening lights and one fixed light 1200 x 1200mm (style 20) inc standard cill, A energy rated 2 trickle vents and fit pack</t>
    </r>
  </si>
  <si>
    <t>15660160</t>
  </si>
  <si>
    <r>
      <rPr>
        <rFont val="Caxton Bk BT"/>
        <color rgb="FF000000"/>
        <sz val="9.0"/>
      </rPr>
      <t>White UPVC windows with two opening lights and one fixed light 1780 x 900mm (style 20) inc standard cill, A energy rated 2 trickle vents and fit pack</t>
    </r>
  </si>
  <si>
    <t>15660162</t>
  </si>
  <si>
    <r>
      <rPr>
        <rFont val="Caxton Bk BT"/>
        <color rgb="FF000000"/>
        <sz val="9.0"/>
      </rPr>
      <t>White UPVC windows with two opening lights and one fixed light 1780 x 1200mm (style 20) inc standard cill, A energy rated 2 trickle vents and fit pack</t>
    </r>
  </si>
  <si>
    <t>15660164</t>
  </si>
  <si>
    <r>
      <rPr>
        <rFont val="Caxton Bk BT"/>
        <color rgb="FF000000"/>
        <sz val="9.0"/>
      </rPr>
      <t>White UPVC windows with two opening lights and one fixed light 1200 x 1500mm (style 22) inc standard cill, A energy rated 2 trickle vents and fit pack</t>
    </r>
  </si>
  <si>
    <t>UPVC Casement windows  Style 22</t>
  </si>
  <si>
    <t>https://www.justdoorsuk.com/window-order.php?product=white-window-style-22</t>
  </si>
  <si>
    <t>Style 22- 150mm standard cill, white, Clear, A Triple glazed with trickle vents (2) and fit pack  Update Apr 24 ce shown prices inc vat deduct VAT</t>
  </si>
  <si>
    <t>15660166</t>
  </si>
  <si>
    <r>
      <rPr>
        <rFont val="Caxton Bk BT"/>
        <color rgb="FF000000"/>
        <sz val="9.0"/>
      </rPr>
      <t>White UPVC windows with three opening lights and one fixed light 1780 x 1500mm (style 23) inc standard cill, A energy rated 2 trickle vents and fit pack</t>
    </r>
  </si>
  <si>
    <t>UPVC Casement windows  Style 23</t>
  </si>
  <si>
    <t>https://www.justdoorsuk.com/window-order.php?product=white-window-style-23</t>
  </si>
  <si>
    <t>Style23- 150mm standard cill, white, Clear, A Triple glazed with trickle vents (2) and fit pack  Update Apr 24 ce shown prices inc vat deduct VAT</t>
  </si>
  <si>
    <t>15660168</t>
  </si>
  <si>
    <r>
      <rPr>
        <rFont val="Caxton Bk BT"/>
        <color rgb="FF000000"/>
        <sz val="9.0"/>
      </rPr>
      <t>White UPVC windows with three opening lights and one fixed light 1780 x 900mm (style 23) inc standard cill, A energy rated 2 trickle vents and fit pack</t>
    </r>
  </si>
  <si>
    <t>15660170</t>
  </si>
  <si>
    <r>
      <rPr>
        <rFont val="Caxton Bk BT"/>
        <color rgb="FF000000"/>
        <sz val="9.0"/>
      </rPr>
      <t>White UPVC windows with three opening lights and one fixed light 1780 x 1200mm (style 23) inc standard cill, A energy rated 2 trickle vents and fit pack</t>
    </r>
  </si>
  <si>
    <t>15660172</t>
  </si>
  <si>
    <r>
      <rPr>
        <rFont val="Caxton Bk BT"/>
        <color rgb="FF000000"/>
        <sz val="9.0"/>
      </rPr>
      <t>White UPVC windows with three opening lights and one fixed light 2358 x 900mm (style 23) inc standard cill, A energy rated 2 trickle vents and fit pack</t>
    </r>
  </si>
  <si>
    <t>15660174</t>
  </si>
  <si>
    <r>
      <rPr>
        <rFont val="Caxton Bk BT"/>
        <color rgb="FF000000"/>
        <sz val="9.0"/>
      </rPr>
      <t>White UPVC windows with three opening lights and one fixed light 2358 x 1200mm (style 23) inc standard cill, A energy rated 2 trickle vents and fit pack</t>
    </r>
  </si>
  <si>
    <t>15660176</t>
  </si>
  <si>
    <r>
      <rPr>
        <rFont val="Caxton Bk BT"/>
        <color rgb="FF000000"/>
        <sz val="9.0"/>
      </rPr>
      <t>White UPVC windows with four opening lights and one fixed light 1780 x 900mm (style 54) inc standard cill, A energy rated 2 trickle vents and fit pack</t>
    </r>
  </si>
  <si>
    <t>UPVC Casement windows  Style 54</t>
  </si>
  <si>
    <t>https://www.justdoorsuk.com/window-order.php?product=white-window-style-54</t>
  </si>
  <si>
    <t>Style 54- 150mm standard cill, white, Clear, A Triple glazed with trickle vents (2) and fit pack  Update Apr 24 ce shown prices inc vat deduct VAT</t>
  </si>
  <si>
    <t>15660178</t>
  </si>
  <si>
    <r>
      <rPr>
        <rFont val="Caxton Bk BT"/>
        <color rgb="FF000000"/>
        <sz val="9.0"/>
      </rPr>
      <t>White UPVC windows with four opening lights and one fixed light 1780 x 1200mm (style 54) inc standard cill, A energy rated 2 trickle vents and fit pack</t>
    </r>
  </si>
  <si>
    <t>15660180</t>
  </si>
  <si>
    <r>
      <rPr>
        <rFont val="Caxton Bk BT"/>
        <color rgb="FF000000"/>
        <sz val="9.0"/>
      </rPr>
      <t>White UPVC windows with four opening lights and one fixed light 1780 x 1500mm (style 54) inc standard cill, A energy rated 2 trickle vents and fit pack</t>
    </r>
  </si>
  <si>
    <t>15660182</t>
  </si>
  <si>
    <t>White UPVC windows with four opening lights and one fixed light 2358 x 1050mm (style 54) inc standard cill, A energy rated 2 trickle vents and fit pack</t>
  </si>
  <si>
    <t>15660184</t>
  </si>
  <si>
    <r>
      <rPr>
        <rFont val="Caxton Bk BT"/>
        <color rgb="FF000000"/>
        <sz val="9.0"/>
      </rPr>
      <t>White UPVC windows with four opening lights and one fixed light 2358 x 1200mm (style 54) inc standard cill, A energy rated 2 trickle vents and fit pack</t>
    </r>
  </si>
  <si>
    <t>15660186</t>
  </si>
  <si>
    <r>
      <rPr>
        <rFont val="Caxton Bk BT"/>
        <color rgb="FF000000"/>
        <sz val="9.0"/>
      </rPr>
      <t>White UPVC windows with four opening lights and one fixed light 2358 x 1500mm (style 54) inc standard cill, A energy rated 2 trickle vents and fit pack</t>
    </r>
  </si>
  <si>
    <t>BML13001</t>
  </si>
  <si>
    <r>
      <rPr>
        <rFont val="Caxton Bk BT"/>
        <color rgb="FF000000"/>
        <sz val="9.0"/>
      </rPr>
      <t>White UPVC windows with one fixed light 630 x 600mm (style 1) inc standard cill, A energy rated trickle vent and fit pack</t>
    </r>
  </si>
  <si>
    <t>nr</t>
  </si>
  <si>
    <t xml:space="preserve">Style 1 use the Url and the drop down list to choose details </t>
  </si>
  <si>
    <t>justdoorsuk.co.uk</t>
  </si>
  <si>
    <t>White UPVC windows with one fixed light 630 x 600mm (style 1) inc standard cill, A energy rated trickle vent and fit pack    May 24 ce updates all prices shown inc vat added url</t>
  </si>
  <si>
    <t>BML13002</t>
  </si>
  <si>
    <t>White UPVC windows with one fixed light 630 x 900mm (style 1) inc standard cill, A energy rated trickle vent and fit pack</t>
  </si>
  <si>
    <t xml:space="preserve">Style 1 White use the Url and the drop down list to choose details </t>
  </si>
  <si>
    <t>Just Doors</t>
  </si>
  <si>
    <t xml:space="preserve">for details use drop down lists: 150mm standard cill, white, Clear glass, Standard A rating with1x trickle vent and fit pack ( July 23 pric £inc vat)   (for fixed light)  May 24 ce updates all prices shown inc vat </t>
  </si>
  <si>
    <t>BML13003</t>
  </si>
  <si>
    <t>White UPVC windows with one fixed light 630 x 1200mm (style 1) inc standard cill, A energy rated trickle vent and fit pack</t>
  </si>
  <si>
    <t xml:space="preserve">150mm standard cill, white, Clear A Standard , with trickle vents and fit pack  May 24 ce updates all prices shown inc vat </t>
  </si>
  <si>
    <t>BML14004</t>
  </si>
  <si>
    <r>
      <rPr>
        <rFont val="Caxton Bk BT"/>
        <color rgb="FF000000"/>
        <sz val="9.0"/>
      </rPr>
      <t>White UPVC windows with one fixed light 630 x 1350mm (style 1) inc standard cill, A energy rated trickle vent and fit pack</t>
    </r>
  </si>
  <si>
    <t>630 x 1350mm (style 1) inc standard cill, white ,glass clear,,A energy rated  1x trickle vent and fit pack    May 24 ce updates all prices shown inc vat added url</t>
  </si>
  <si>
    <t>BML14005</t>
  </si>
  <si>
    <r>
      <rPr>
        <rFont val="Caxton Bk BT"/>
        <color rgb="FF000000"/>
        <sz val="9.0"/>
      </rPr>
      <t>White UPVC windows with one fixed light 1200 x 600mm (style 1) inc standard cill, A energy rated 2 trickle vents and fit pack</t>
    </r>
  </si>
  <si>
    <t>1200 x 600mm (style 1) inc standard cill, white, glass clear, A energy rated 2 trickle vents and fit pack    May 24 ce updates all prices shown inc vat added url</t>
  </si>
  <si>
    <t>BML14006</t>
  </si>
  <si>
    <r>
      <rPr>
        <rFont val="Caxton Bk BT"/>
        <color rgb="FF000000"/>
        <sz val="9.0"/>
      </rPr>
      <t>White UPVC windows with one fixed light 1200 x 900mm (style 1) inc standard cill, A energy rated 2 trickle vents and fit pack</t>
    </r>
  </si>
  <si>
    <t>1200 x 900mm (style 1) inc standard cill, white, glass clear, A energy rated 2 trickle vents and fit pack     May 24 ce updates all prices shown inc vat added url</t>
  </si>
  <si>
    <t>BML14007</t>
  </si>
  <si>
    <r>
      <rPr>
        <rFont val="Caxton Bk BT"/>
        <color rgb="FF000000"/>
        <sz val="9.0"/>
      </rPr>
      <t>White UPVC windows with one fixed light 1200 x 1200mm (style 1) inc standard cill, A energy rated 2 trickle vents and fit pack</t>
    </r>
  </si>
  <si>
    <t xml:space="preserve">150mm standard cill, white, Clear A Standard, with 2 trickle vents and fit pack    May 24 ce updates all prices shown inc vat </t>
  </si>
  <si>
    <t>BML14008</t>
  </si>
  <si>
    <r>
      <rPr>
        <rFont val="Caxton Bk BT"/>
        <color rgb="FF000000"/>
        <sz val="9.0"/>
      </rPr>
      <t>White UPVC windows with one fixed light 1200 x 1350mm (style 1) inc standard cill, A energy rated 2 trickle vents and fit pack</t>
    </r>
  </si>
  <si>
    <t xml:space="preserve"> 1200 x 1350mm (style 1) inc standard cill, white, glass clear, A energy rated 2 trickle vents and fit pack       May 24 ce updates all prices shown inc vat added url</t>
  </si>
  <si>
    <t>BML15001</t>
  </si>
  <si>
    <r>
      <rPr>
        <rFont val="Caxton Bk BT"/>
        <color rgb="FF000000"/>
        <sz val="9.0"/>
      </rPr>
      <t>White UPVC windows with one opening light 630 x 600mm (style 4) inc standard cill, A energy rated trickle vent and fit pack</t>
    </r>
  </si>
  <si>
    <t xml:space="preserve">Style 4 use the Url and the drop down list to choose details </t>
  </si>
  <si>
    <t xml:space="preserve"> one opening light 630 x 600mm (style 4) inc standard cill, white, clear glass,A energy rated 1 trickle vent and fit pack    May 24 ce updates all prices shown inc vat added url</t>
  </si>
  <si>
    <t>BML15002</t>
  </si>
  <si>
    <r>
      <rPr>
        <rFont val="Caxton Bk BT"/>
        <color rgb="FF000000"/>
        <sz val="9.0"/>
      </rPr>
      <t>White UPVC windows with one opening light 630 x 900mm (style 4) inc standard cill, A energy rated trickle vent and fit pack</t>
    </r>
  </si>
  <si>
    <t>one opening light 630 x 900mm (style 4) inc standard cill,  white, clear glass A energy rated, 1 trickle vent and fit pack  May 24 ce updates all prices shown inc vat added url</t>
  </si>
  <si>
    <t>BML15003</t>
  </si>
  <si>
    <r>
      <rPr>
        <rFont val="Caxton Bk BT"/>
        <color rgb="FF000000"/>
        <sz val="9.0"/>
      </rPr>
      <t>White UPVC windows with one opening light 900 x 600mm (style 3) inc standard cill, A energy rated trickle vent and fit pack</t>
    </r>
  </si>
  <si>
    <t xml:space="preserve">Style 3 use the Url and the drop down list to choose details </t>
  </si>
  <si>
    <t>one opening light 900 x 600mm (style 3) inc standard cill, A energy rated, 1 trickle vent and fit pack      May 24 ce updates all prices shown inc vat added url</t>
  </si>
  <si>
    <t>BML15004</t>
  </si>
  <si>
    <r>
      <rPr>
        <rFont val="Caxton Bk BT"/>
        <color rgb="FF000000"/>
        <sz val="9.0"/>
      </rPr>
      <t>White UPVC windows with one opening light 900 x 900mm (style 3) inc standard cill, A energy rated trickle vent and fit pack</t>
    </r>
  </si>
  <si>
    <t>one opening light 900 x 900mm (style 3) inc standard cill,  white, clear glass A energy rated 1 trickle vent and fit pack       May 24 ce updates all prices shown inc vat added url</t>
  </si>
  <si>
    <t>BML15005</t>
  </si>
  <si>
    <r>
      <rPr>
        <rFont val="Caxton Bk BT"/>
        <color rgb="FF000000"/>
        <sz val="9.0"/>
      </rPr>
      <t>White UPVC windows with one opening light 1200 x 600mm (style 3) inc standard cill, A energy rated 2 trickle vents and fit pack</t>
    </r>
  </si>
  <si>
    <t>one opening light 1200 x 600mm (style 3) inc standard cill,  white, clear glass A energy rated 2 trickle vents and fit pack       May 24 ce updates all prices shown inc vat added url</t>
  </si>
  <si>
    <t>BML15006</t>
  </si>
  <si>
    <r>
      <rPr>
        <rFont val="Caxton Bk BT"/>
        <color rgb="FF000000"/>
        <sz val="9.0"/>
      </rPr>
      <t>White UPVC windows with one opening light 1200 x 900mm (style 3) inc standard cill, A energy rated 2 trickle vents and fit pack</t>
    </r>
  </si>
  <si>
    <t>one opening light 1200 x 900mm (style 3) inc standard cill,  white, clear glass A energy rated 2 trickle vents and fit pack     May 24 ce updates all prices shown inc vat added url</t>
  </si>
  <si>
    <t>BML15007</t>
  </si>
  <si>
    <r>
      <rPr>
        <rFont val="Caxton Bk BT"/>
        <color rgb="FF000000"/>
        <sz val="9.0"/>
      </rPr>
      <t>White UPVC windows with one opening light 630 x 1200mm (style 4) inc standard cill, A energy rated trickle vent and fit pack</t>
    </r>
  </si>
  <si>
    <t>one opening light 630 x 1200mm (style 4) inc standard cill,  white, clear glass A energy rated 1 trickle vent and fit pack       May 24 ce updates all prices shown inc vat added url</t>
  </si>
  <si>
    <t>BML15008</t>
  </si>
  <si>
    <r>
      <rPr>
        <rFont val="Caxton Bk BT"/>
        <color rgb="FF000000"/>
        <sz val="9.0"/>
      </rPr>
      <t>White UPVC windows with one opening light and one fixed light 630 x 900mm (style 6) inc standard cill, A energy rated trickle vent and fit pack</t>
    </r>
  </si>
  <si>
    <t xml:space="preserve">Style 6 use the Url and the drop down list to choose details </t>
  </si>
  <si>
    <t>one opening light and one fixed light 630 x 900mm (style 6) inc standard cill, white, clear glass, A energy rated 1 trickle vent and fit pack    May 24 ce updates all prices shown inc vat added url</t>
  </si>
  <si>
    <t>BML15009</t>
  </si>
  <si>
    <r>
      <rPr>
        <rFont val="Caxton Bk BT"/>
        <color rgb="FF000000"/>
        <sz val="9.0"/>
      </rPr>
      <t>White UPVC windows with one opening light and one fixed light 630 x 1200mm (style 6) inc standard cill, A energy rated trickle vent and fit pack</t>
    </r>
  </si>
  <si>
    <t>one opening light and one fixed light 630 x 1200mm (style 6) inc standard cill, white, clear glass A energy rated 1 trickle vent and fit pack  May 24 ce updates all prices shown inc vat added url</t>
  </si>
  <si>
    <t>BML15010</t>
  </si>
  <si>
    <r>
      <rPr>
        <rFont val="Caxton Bk BT"/>
        <color rgb="FF000000"/>
        <sz val="9.0"/>
      </rPr>
      <t>White UPVC windows with one opening light and one fixed light 630 x 1400mm (style 6) inc standard cill, A energy rated trickle vent and fit pack</t>
    </r>
  </si>
  <si>
    <t>one opening light and one fixed light 630 x 1400mm (style 6) inc standard cill, white, clear glass A energy rated 1 trickle vent and fit pack   May 24 ce updates all prices shown inc vat added url</t>
  </si>
  <si>
    <t>BML15012</t>
  </si>
  <si>
    <r>
      <rPr>
        <rFont val="Caxton Bk BT"/>
        <color rgb="FF000000"/>
        <sz val="9.0"/>
      </rPr>
      <t xml:space="preserve">White UPVC windows with one opening light and one fixed light 900 x 1200mm (style 6) inc standard cill, A energy rated trickle vent and fit pack </t>
    </r>
  </si>
  <si>
    <t>one opening light and one fixed light 900 x 1200mm (style 6) inc standard cill, white, clear glass A energy rated 1 trickle vent and fit pack  May 24 ce updates all prices shown inc vat added url</t>
  </si>
  <si>
    <t>BML15013</t>
  </si>
  <si>
    <r>
      <rPr>
        <rFont val="Caxton Bk BT"/>
        <color rgb="FF000000"/>
        <sz val="9.0"/>
      </rPr>
      <t>White UPVC windows with one opening light and one fixed light 900 x 1400mm (style 6) inc standard cill, A energy rated trickle vent and fit pack</t>
    </r>
  </si>
  <si>
    <t>one opening light and one fixed light 900 x 1400mm (style 6) inc standard cill, white, clear glass A energy rated 1 trickle vent and fit pack   May 24 ce updates all prices shown inc vat added url</t>
  </si>
  <si>
    <t>BML15015</t>
  </si>
  <si>
    <r>
      <rPr>
        <rFont val="Caxton Bk BT"/>
        <color rgb="FF000000"/>
        <sz val="9.0"/>
      </rPr>
      <t>White UPVC windows with one opening light and one fixed light 1200 x 1200mm (style 6) inc standard cill, A energy rated trickle vent and fit pack</t>
    </r>
  </si>
  <si>
    <t>one opening light and one fixed light 1200 x 1200mm (style 6) inc standard cill, white, clear glass A energy 1 trickle vent and fit pack  May 24 ce updates all prices shown inc vat added url</t>
  </si>
  <si>
    <t>BML15016</t>
  </si>
  <si>
    <r>
      <rPr>
        <rFont val="Caxton Bk BT"/>
        <color rgb="FF000000"/>
        <sz val="9.0"/>
      </rPr>
      <t>White UPVC windows with one opening light and one fixed light 1200 x 1500mm (style 6) inc standard cill, A energy rated trickle vent and fit pack</t>
    </r>
  </si>
  <si>
    <t xml:space="preserve">one opening light and one fixed light 1200 x 1500mm (style 6) inc standard cill, white, clear glass A energy 1 trickle vent and fit pack    May 24 ce updates all prices shown inc vat added url </t>
  </si>
  <si>
    <t>BML16001</t>
  </si>
  <si>
    <r>
      <rPr>
        <rFont val="Caxton Bk BT"/>
        <color rgb="FF000000"/>
        <sz val="9.0"/>
      </rPr>
      <t>White UPVC windows with one opening light and one fixed light 1200 x 750mm (style 6) inc standard cill, A energy rated 2 trickle vents and fit pack</t>
    </r>
  </si>
  <si>
    <t xml:space="preserve"> one opening light and one fixed light 1200 x 750mm (style 6) inc standard cill, white, clear glass A energy rated 2 trickle vents and fit pack    May 24 ce updates all prices shown inc vat added url</t>
  </si>
  <si>
    <t>BML16002</t>
  </si>
  <si>
    <r>
      <rPr>
        <rFont val="Caxton Bk BT"/>
        <color rgb="FF000000"/>
        <sz val="9.0"/>
      </rPr>
      <t>White UPVC windows with one opening light and one fixed light 1200 x 900mm (style 6) inc standard cill, A energy rated 2 trickle vents and fit pack</t>
    </r>
  </si>
  <si>
    <t>one opening light and one fixed light 1200 x 900mm (style 6) inc standard cill, white, clear glass A energy rated 2 trickle vents and fit pack   May 24 ce updates all prices shown inc vat added url</t>
  </si>
  <si>
    <t>BML16003</t>
  </si>
  <si>
    <r>
      <rPr>
        <rFont val="Caxton Bk BT"/>
        <color rgb="FF000000"/>
        <sz val="9.0"/>
      </rPr>
      <t>White UPVC windows with one opening light and one fixed light 1782 x 600mm (style18) inc standard cill, A energy rated 2 trickle vents and fit pack</t>
    </r>
  </si>
  <si>
    <t xml:space="preserve">Style 18 use the Url and the drop down list to choose details </t>
  </si>
  <si>
    <t>one opening light and one fixed light 1782 x 600mm (style18) inc standard cill,  white, clear glass A energy rated 2 trickle vents and fit pack    May 24 ce updates all prices shown inc vat added url</t>
  </si>
  <si>
    <t>BML16004</t>
  </si>
  <si>
    <r>
      <rPr>
        <rFont val="Caxton Bk BT"/>
        <color rgb="FF000000"/>
        <sz val="9.0"/>
      </rPr>
      <t>White UPVC windows with one opening light and one fixed light 1782 x 900mm (style18) inc standard cill, A energy rated 2 trickle vents and fit pack</t>
    </r>
  </si>
  <si>
    <t>one opening light and one fixed light 1782 x 900mm (style18) inc standard cill, white, clear glass A energy rated 2 trickle vents and fit pack     May 24 ce updates all prices shown inc vat added url</t>
  </si>
  <si>
    <t>BML17001</t>
  </si>
  <si>
    <r>
      <rPr>
        <rFont val="Caxton Bk BT"/>
        <color rgb="FF000000"/>
        <sz val="9.0"/>
      </rPr>
      <t>White UPVC windows with one opening light and two fixed lights 1780 x 1200mm (style 89) inc standard cill, A energy rated 2 trickle vents and fit pack</t>
    </r>
  </si>
  <si>
    <t xml:space="preserve">use the Url and the drop down list to choose details </t>
  </si>
  <si>
    <t>150mm standard cill, white, Clear, A Standard  with  2 trickle vents and fit pack one opening light     ( July 23 pric£403 inc vat)  May 24 ce price £413 inc vat (ex vat £</t>
  </si>
  <si>
    <t>BML17002</t>
  </si>
  <si>
    <r>
      <rPr>
        <rFont val="Caxton Bk BT"/>
        <color rgb="FF000000"/>
        <sz val="9.0"/>
      </rPr>
      <t>White UPVC windows with one opening light and two fixed lights 1780 x 1500mm (style 89) inc standard cill, A energy rated 2 trickle vents and fit pack</t>
    </r>
  </si>
  <si>
    <t xml:space="preserve">Style 89 use the Url and the drop down list to choose details </t>
  </si>
  <si>
    <t xml:space="preserve"> one opening light and two fixed lights 1780 x 1500mm (style 89) inc standard cill, white, clear glass A energy rated 2 trickle vents and fit pack   May 24 ce updates all prices shown inc vat added url</t>
  </si>
  <si>
    <t>BML18001</t>
  </si>
  <si>
    <r>
      <rPr>
        <rFont val="Caxton Bk BT"/>
        <color rgb="FF000000"/>
        <sz val="9.0"/>
      </rPr>
      <t>White UPVC windows with two opening lights and one fixed light 1200 x 900mm (style 20) inc standard cill, A energy rated 2 trickle vents and fit pack</t>
    </r>
  </si>
  <si>
    <t xml:space="preserve">Style 20 use the Url and the drop down list to choose details </t>
  </si>
  <si>
    <t xml:space="preserve"> two opening lights and one fixed light 1200 x 900mm (style 20) inc standard cill, , white, clear glass, A energy rated 2 trickle vents and fit pack     May 24 ce updates all prices shown inc vat added url</t>
  </si>
  <si>
    <t>BML18002</t>
  </si>
  <si>
    <r>
      <rPr>
        <rFont val="Caxton Bk BT"/>
        <color rgb="FF000000"/>
        <sz val="9.0"/>
      </rPr>
      <t>White UPVC windows with two opening lights and one fixed light 1200 x 1200mm (style 20) inc standard cill, A energy rated 2 trickle vents and fit pack</t>
    </r>
  </si>
  <si>
    <t xml:space="preserve"> two opening lights and one fixed light 1200 x 1200 (style 20) inc standard cill, , white, clear glass, A energy rated 2 trickle vents and fit pack     May 24 ce updates all prices shown inc vat added url</t>
  </si>
  <si>
    <t>BML18003</t>
  </si>
  <si>
    <r>
      <rPr>
        <rFont val="Caxton Bk BT"/>
        <color rgb="FF000000"/>
        <sz val="9.0"/>
      </rPr>
      <t>White UPVC windows with two opening lights and one fixed light 1780 x 900mm (style 20) inc standard cill, A energy rated 2 trickle vents and fit pack</t>
    </r>
  </si>
  <si>
    <t xml:space="preserve"> two opening lights and one fixed light 1780 x 900mm (style 20) inc standard cill, , white, clear glass, A energy rated 2 trickle vents and fit pack     May 24 ce updates all prices shown inc vat added url</t>
  </si>
  <si>
    <t>BML18004</t>
  </si>
  <si>
    <r>
      <rPr>
        <rFont val="Caxton Bk BT"/>
        <color rgb="FF000000"/>
        <sz val="9.0"/>
      </rPr>
      <t>White UPVC windows with two opening lights and one fixed light 1780 x 1200mm (style 20) inc standard cill, A energy rated 2 trickle vents and fit pack</t>
    </r>
  </si>
  <si>
    <t xml:space="preserve"> two opening lights and one fixed light 1200 x 1200mm (style 20) inc standard cill, , white, clear glass, A energy rated 2 trickle vents and fit pack     May 24 ce updates all prices shown inc vat added url</t>
  </si>
  <si>
    <t>BML18005</t>
  </si>
  <si>
    <r>
      <rPr>
        <rFont val="Caxton Bk BT"/>
        <color rgb="FF000000"/>
        <sz val="9.0"/>
      </rPr>
      <t>White UPVC windows with two opening lights and one fixed light 1200 x 1500mm (style 22) inc standard cill, A energy rated 2 trickle vents and fit pack</t>
    </r>
  </si>
  <si>
    <t xml:space="preserve">Style 22 use the Url and the drop down list to choose details </t>
  </si>
  <si>
    <t>two opening lights and one fixed light 1200 x 1500mm (style 22) inc standard cill, white, clear glass, A energy rated 2 trickle vents and fit pack         May 24 ce updates all prices shown inc vat added url</t>
  </si>
  <si>
    <t>BML19001</t>
  </si>
  <si>
    <r>
      <rPr>
        <rFont val="Caxton Bk BT"/>
        <color rgb="FF000000"/>
        <sz val="9.0"/>
      </rPr>
      <t>White UPVC windows with three opening lights and one fixed light 1780 x 1500mm (style 23) inc standard cill, A energy rated 2 trickle vents and fit pack</t>
    </r>
  </si>
  <si>
    <t xml:space="preserve">Style 23 use the Url and the drop down list to choose details </t>
  </si>
  <si>
    <t xml:space="preserve"> three opening lights and one fixed light 1780 x 1500mm (style 23) inc standard cill, white, clear glass, A energy rated 2 trickle vents and fit pack       May 24 ce updates all prices shown inc vat added url</t>
  </si>
  <si>
    <t>BML19002</t>
  </si>
  <si>
    <r>
      <rPr>
        <rFont val="Caxton Bk BT"/>
        <color rgb="FF000000"/>
        <sz val="9.0"/>
      </rPr>
      <t>White UPVC windows with three opening lights and one fixed light 1780 x 900mm (style 23) inc standard cill, A energy rated 2 trickle vents and fit pack</t>
    </r>
  </si>
  <si>
    <t xml:space="preserve"> three opening lights and one fixed light 1780 x 900mm (style 23) inc standard cill, white, clear glass, A energy rated 2 trickle vents and fit pack             May 24 ce updates all prices shown inc vat added url</t>
  </si>
  <si>
    <t>BML19003</t>
  </si>
  <si>
    <r>
      <rPr>
        <rFont val="Caxton Bk BT"/>
        <color rgb="FF000000"/>
        <sz val="9.0"/>
      </rPr>
      <t>White UPVC windows with three opening lights and one fixed light 1780 x 1200mm (style 23) inc standard cill, A energy rated 2 trickle vents and fit pack</t>
    </r>
  </si>
  <si>
    <t xml:space="preserve"> three opening lights and one fixed light 1780 x 1200mm (style 23) inc standard cill, white, clear glass, A energy rated 2 trickle vents and fit pack           May 24 ce updates all prices shown inc vat added url</t>
  </si>
  <si>
    <t>BML19004</t>
  </si>
  <si>
    <r>
      <rPr>
        <rFont val="Caxton Bk BT"/>
        <color rgb="FF000000"/>
        <sz val="9.0"/>
      </rPr>
      <t>White UPVC windows with three opening lights and one fixed light 2358 x 900mm (style 23) inc standard cill, A energy rated 2 trickle vents and fit pack</t>
    </r>
  </si>
  <si>
    <t>three opening lights and one fixed light 2358 x 900mm (style 23) inc standard cill, white, clear glass, A energy rated 2 trickle vents and fit pack                May 24 ce updates all prices shown inc vat added url</t>
  </si>
  <si>
    <t>BML19005</t>
  </si>
  <si>
    <r>
      <rPr>
        <rFont val="Caxton Bk BT"/>
        <color rgb="FF000000"/>
        <sz val="9.0"/>
      </rPr>
      <t>White UPVC windows with three opening lights and one fixed light 2358 x 1200mm (style 23) inc standard cill, A energy rated 2 trickle vents and fit pack</t>
    </r>
  </si>
  <si>
    <t>three opening lights and one fixed light 2358 x 1200mm (style 23) inc standard cill, white, clear glass, A energy rated 2 trickle vents and fit pack            May 24 ce updates all prices shown inc vat added url</t>
  </si>
  <si>
    <t>BML20001</t>
  </si>
  <si>
    <r>
      <rPr>
        <rFont val="Caxton Bk BT"/>
        <color rgb="FF000000"/>
        <sz val="9.0"/>
      </rPr>
      <t>White UPVC windows with four opening lights and one fixed light 1780 x 900mm (style 54) inc standard cill, A energy rated 2 trickle vents and fit pack</t>
    </r>
  </si>
  <si>
    <t xml:space="preserve">Style 54 use the Url and the drop down list to choose details </t>
  </si>
  <si>
    <t xml:space="preserve"> four opening lights and one fixed light 1780 x 900mm (style 54) inc standard cill, A energy rated 2 trickle vents and fit pack</t>
  </si>
  <si>
    <t>BML20002</t>
  </si>
  <si>
    <r>
      <rPr>
        <rFont val="Caxton Bk BT"/>
        <color rgb="FF000000"/>
        <sz val="9.0"/>
      </rPr>
      <t>White UPVC windows with four opening lights and one fixed light 1780 x 1200mm (style 54) inc standard cill, A energy rated 2 trickle vents and fit pack</t>
    </r>
  </si>
  <si>
    <t xml:space="preserve"> four opening lights and one fixed light 1780 x 1200mm (style 54) inc standard cill,  white, clear glass, A energy rated 2 trickle vents and fit pack      May 24 ce updates all prices shown inc vat added url</t>
  </si>
  <si>
    <t>BML20003</t>
  </si>
  <si>
    <r>
      <rPr>
        <rFont val="Caxton Bk BT"/>
        <color rgb="FF000000"/>
        <sz val="9.0"/>
      </rPr>
      <t>White UPVC windows with four opening lights and one fixed light 1780 x 1500mm (style 54) inc standard cill, A energy rated 2 trickle vents and fit pack</t>
    </r>
  </si>
  <si>
    <t>four opening lights and one fixed light 1780 x 1500mm (style 54) inc standard cill,  white, clear glass, A energy rated 2 trickle vents and fit pack        May 24 ce updates all prices shown inc vat added url</t>
  </si>
  <si>
    <t>BML20004</t>
  </si>
  <si>
    <r>
      <rPr>
        <rFont val="Caxton Bk BT"/>
        <color rgb="FF000000"/>
        <sz val="9.0"/>
      </rPr>
      <t>White UPVC windows with four opening lights and one fixed light 2358 x 1050mm (style 54) inc standard cill, A energy rated 2 trickle vents and fit pack</t>
    </r>
  </si>
  <si>
    <t xml:space="preserve"> four opening lights and one fixed light 2358 x 1050mm (style 54) inc standard cill,  white, clear glass, A energy rated 2 trickle vents and fit pack           May 24 ce updates all prices shown inc vat added url</t>
  </si>
  <si>
    <t>BML20005</t>
  </si>
  <si>
    <r>
      <rPr>
        <rFont val="Caxton Bk BT"/>
        <color rgb="FF000000"/>
        <sz val="9.0"/>
      </rPr>
      <t>White UPVC windows with four opening lights and one fixed light 2358 x 1200mm (style 54) inc standard cill, A energy rated 2 trickle vents and fit pack</t>
    </r>
  </si>
  <si>
    <t>four opening lights and one fixed light 2358 x 1200mm (style 54) inc standard cill,  white, clear glass, A energy rated 2 trickle vents and fit pack           May 24 ce updates all prices shown inc vat added url</t>
  </si>
  <si>
    <t>BML20006</t>
  </si>
  <si>
    <r>
      <rPr>
        <rFont val="Caxton Bk BT"/>
        <color rgb="FF000000"/>
        <sz val="9.0"/>
      </rPr>
      <t>White UPVC windows with four opening lights and one fixed light 2358 x 1500mm (style 54) inc standard cill, A energy rated 2 trickle vents and fit pack</t>
    </r>
  </si>
  <si>
    <t xml:space="preserve"> four opening lights and one fixed light 2358 x 1500mm (style 54) inc standard cill,  white, clear glass, A energy rated 2 trickle vents and fit pack             May 24 ce updates all prices shown inc vat added url</t>
  </si>
  <si>
    <t>BML20010</t>
  </si>
  <si>
    <r>
      <rPr>
        <rFont val="Caxton Bk BT"/>
        <color rgb="FF000000"/>
        <sz val="9.0"/>
      </rPr>
      <t>Half Glazed Back door 2xG Half Glazed Flat Panel UPVC Back Door standard locks including frame (WER A rated)</t>
    </r>
  </si>
  <si>
    <t>HGFPNL</t>
  </si>
  <si>
    <t>https://www.justdoorsuk.com/upvc-order.php?product=2xg-half-glazed-flat-panel-upvc-back-door</t>
  </si>
  <si>
    <t xml:space="preserve">standard door locks keys , white, no side panels     July 23 £449.00 inc Vat   may 24 ce price £459.00 inc vat added url </t>
  </si>
  <si>
    <t>BML20011</t>
  </si>
  <si>
    <r>
      <rPr>
        <rFont val="Caxton Bk BT"/>
        <color rgb="FF000000"/>
        <sz val="9.0"/>
      </rPr>
      <t>Extra over UPVC door for secured by design</t>
    </r>
  </si>
  <si>
    <t xml:space="preserve">Locking system upgrade May 24 ce found that using the spec from above look at the Locking System box see price for Hook lock upgrade -Enhanced Security  £10 inc vat added url </t>
  </si>
  <si>
    <t>BML20012</t>
  </si>
  <si>
    <r>
      <rPr>
        <rFont val="Caxton Bk BT"/>
        <color rgb="FF000000"/>
        <sz val="9.0"/>
      </rPr>
      <t>Extra over UPVC door for Coloured Finish</t>
    </r>
  </si>
  <si>
    <t>Average of 225-350</t>
  </si>
  <si>
    <t xml:space="preserve">July 23  What door is this based on as different prices for different types ? May 24 no details on door that price based  so, Priced on the Half Glazed Back door 2xG Half Glazed Flat Panel UPVC Back Door standard locks including frame (WER A rated) choosing the difference in price from White to colour OAK  £300 inc vat added url </t>
  </si>
  <si>
    <t>BML20013</t>
  </si>
  <si>
    <r>
      <rPr>
        <rFont val="Caxton Bk BT"/>
        <color rgb="FF000000"/>
        <sz val="9.0"/>
      </rPr>
      <t>Extra over UPVC door for Thermal Argon Glass</t>
    </r>
  </si>
  <si>
    <t xml:space="preserve">Use small window Style 1 500 x 500mm then click on window energy rating (WER) A  Rated energy upgrade (using external sill (No)  white ,clear glass, standard energy rating Trickle NO Fit Pack Not  -then click on Energy A and see the total difference between Standard &amp; A Energy upgrade  (all prices shown inc vat)    May 24 ce updates all prices shown inc vat added url </t>
  </si>
  <si>
    <t>BML20014</t>
  </si>
  <si>
    <r>
      <rPr>
        <rFont val="Caxton Bk BT"/>
        <color rgb="FF000000"/>
        <sz val="9.0"/>
      </rPr>
      <t>Glazed Back door UPVC Back Door Standard Locks, including frame (WER A rated)</t>
    </r>
  </si>
  <si>
    <t>Full glass back door</t>
  </si>
  <si>
    <t>https://www.justdoorsuk.com/upvc-order.php?product=full-glass-upvc-back-door</t>
  </si>
  <si>
    <t xml:space="preserve">standard door locks, white, no side panels Energy rating A Standard allincldued in door spec no need to select)       July 23 £459.00 inc Vat                    May 24 ce updates £469 inc vat added url </t>
  </si>
  <si>
    <t>BML20015</t>
  </si>
  <si>
    <r>
      <rPr>
        <rFont val="Caxton Bk BT"/>
        <color rgb="FF000000"/>
        <sz val="9.0"/>
      </rPr>
      <t>Cottage Half Glazed Composite Back Door in White</t>
    </r>
  </si>
  <si>
    <t>CHGGLWHNL</t>
  </si>
  <si>
    <t>https://www.justdoorsuk.com/grp-order.php?product=cottage-half-glazed-composite-back-door-in-white</t>
  </si>
  <si>
    <t xml:space="preserve">Look under composite doors  (take price as shown with no options or size )  May 24 ce updates £680 inc vat added url </t>
  </si>
  <si>
    <t>BML20016</t>
  </si>
  <si>
    <r>
      <rPr>
        <rFont val="Caxton Bk BT"/>
        <color rgb="FF000000"/>
        <sz val="9.0"/>
      </rPr>
      <t>2 Panel 2 Square Glazed Composite Front Door in White, with laminated glass and PAS24 upgrade</t>
    </r>
  </si>
  <si>
    <t> 2P2SGLWH</t>
  </si>
  <si>
    <t>https://www.justdoorsuk.com/2-panel-2-square-composite-doors.php</t>
  </si>
  <si>
    <t xml:space="preserve"> Use following 830 x 1969/standard Cill/side panels (No)  White both sides /frame white/clear glass/laminated upgrade cylinder type Yale platinum 3 star key/key  May 24 ce use selection boxes for items £800 inc vat added url </t>
  </si>
  <si>
    <t>BML20017</t>
  </si>
  <si>
    <r>
      <rPr>
        <rFont val="Caxton Bk BT"/>
        <color rgb="FF000000"/>
        <sz val="9.0"/>
      </rPr>
      <t>6 Panel Composite Front Door in White, with PAS24 upgrade</t>
    </r>
  </si>
  <si>
    <t>6PWH</t>
  </si>
  <si>
    <t>https://www.justdoorsuk.com/grp-order.php?product=6-panel-composite-front-door-in-white</t>
  </si>
  <si>
    <t xml:space="preserve">830 x 1969/standard Cill/side panels (No)  White both sides /frame white  upgrade cylinder type Yale platinum 3 star key/key  May 24 ce use selection boxes for items £640 inc vat added url </t>
  </si>
  <si>
    <t>BML32001</t>
  </si>
  <si>
    <r>
      <rPr>
        <rFont val="Caxton Bk BT"/>
        <color rgb="FF000000"/>
        <sz val="9.0"/>
      </rPr>
      <t>Full Glass with Mid Rail UPVC Front Door 900 x 2100, standard cill, letterbox,TS007 3 star Anti-Snap key &amp; thumbturn energy efficient thermal glass and fit pack</t>
    </r>
  </si>
  <si>
    <t xml:space="preserve">FGMR    use the Url and the drop down list to choose details </t>
  </si>
  <si>
    <t>https://www.justdoorsuk.com/upvc-order.php?product=full-glass-with-mid-rail-upvc-front-door</t>
  </si>
  <si>
    <t>Full Glass with Mid Rail UPVC Front Door 900 x 2100, standard cill, white, clear glass, letterbox, (cylinder) - TS007 3 star Anti-Snap key &amp; thumbturn, energy efficient thermal glass, and fit pack                                               May 24 ce updates all prices shown inc vat added url</t>
  </si>
  <si>
    <t>BML32002</t>
  </si>
  <si>
    <r>
      <rPr>
        <rFont val="Caxton Bk BT"/>
        <color rgb="FF000000"/>
        <sz val="9.0"/>
      </rPr>
      <t>Patio door UPVC white, 6ft sliding door (Frame size 1790 x 2090mm)</t>
    </r>
  </si>
  <si>
    <t xml:space="preserve">1790   use the Url and the drop down list to choose details </t>
  </si>
  <si>
    <t>https://www.justdoorsuk.com/2-pane-patio-doors.php</t>
  </si>
  <si>
    <t xml:space="preserve"> (2 pane)Patio door UPVC white, 6ft sliding door (Frame size 1790 x 2090mm )Standard cill, white ,  with trickle vents and fit pack    May 24 ce updates all prices shown inc vat added url</t>
  </si>
  <si>
    <t>BML32003</t>
  </si>
  <si>
    <r>
      <rPr>
        <rFont val="Caxton Bk BT"/>
        <color rgb="FF000000"/>
        <sz val="9.0"/>
      </rPr>
      <t>Patio door UPVC white, 8ft sliding door (Frame size 2390 x 2090mm)</t>
    </r>
  </si>
  <si>
    <t xml:space="preserve">2390  use the Url and the drop down list to choose details </t>
  </si>
  <si>
    <t>(2 pane) Patio door UPVC white, 8ft sliding door (Frame size 2390 x 2090mm)  Standard cill, white,  with trickle vents and fit pack     May 24 ce updates all prices shown inc vat added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</si>
</sst>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#,##0.00;\(#,##0.00\)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8.0"/>
      <color theme="1"/>
      <name val="Arial"/>
    </font>
    <font>
      <b/>
      <sz val="8.0"/>
      <color theme="1"/>
      <name val="Caxton Bk BT"/>
    </font>
    <font>
      <sz val="9.0"/>
      <color theme="1"/>
      <name val="Arial"/>
    </font>
    <font>
      <sz val="9.0"/>
      <color theme="1"/>
      <name val="Caxton Bk BT"/>
    </font>
    <font>
      <u/>
      <sz val="11.0"/>
      <color rgb="FF0000FF"/>
      <name val="Calibri"/>
    </font>
    <font>
      <u/>
      <sz val="9.0"/>
      <color rgb="FF0000FF"/>
      <name val="Caxton Bk BT"/>
    </font>
  </fonts>
  <fills count="5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  <fill>
      <patternFill patternType="solid">
        <fgColor rgb="FFFDE9D9"/>
        <bgColor rgb="FFFDE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1" fillId="2" fontId="2" numFmtId="0" xfId="0" applyAlignment="1" applyBorder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0" fillId="3" fontId="2" numFmtId="164" xfId="0" applyAlignment="1" applyFont="1" applyNumberFormat="1">
      <alignment horizontal="right" shrinkToFit="0" vertical="top" wrapText="1"/>
    </xf>
    <xf borderId="1" fillId="2" fontId="3" numFmtId="0" xfId="0" applyAlignment="1" applyBorder="1" applyFont="1">
      <alignment horizontal="righ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horizontal="right" shrinkToFit="0" vertical="top" wrapText="1"/>
    </xf>
    <xf borderId="0" fillId="3" fontId="1" numFmtId="164" xfId="0" applyAlignment="1" applyFont="1" applyNumberFormat="1">
      <alignment vertical="top"/>
    </xf>
    <xf borderId="0" fillId="0" fontId="1" numFmtId="164" xfId="0" applyAlignment="1" applyFont="1" applyNumberFormat="1">
      <alignment vertical="top"/>
    </xf>
    <xf borderId="1" fillId="4" fontId="1" numFmtId="164" xfId="0" applyAlignment="1" applyBorder="1" applyFill="1" applyFont="1" applyNumberFormat="1">
      <alignment vertical="top"/>
    </xf>
    <xf borderId="0" fillId="0" fontId="1" numFmtId="9" xfId="0" applyAlignment="1" applyFont="1" applyNumberFormat="1">
      <alignment vertical="top"/>
    </xf>
    <xf borderId="0" fillId="0" fontId="5" numFmtId="0" xfId="0" applyAlignment="1" applyFont="1">
      <alignment horizontal="right"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5" numFmtId="9" xfId="0" applyAlignment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ustdoorsuk.com/window-order.php?product=white-window-style-1" TargetMode="External"/><Relationship Id="rId2" Type="http://schemas.openxmlformats.org/officeDocument/2006/relationships/hyperlink" Target="https://www.justdoorsuk.com/window-order.php?product=white-window-style-1" TargetMode="External"/><Relationship Id="rId3" Type="http://schemas.openxmlformats.org/officeDocument/2006/relationships/hyperlink" Target="https://www.justdoorsuk.com/window-order.php?product=white-window-style-4" TargetMode="External"/><Relationship Id="rId4" Type="http://schemas.openxmlformats.org/officeDocument/2006/relationships/hyperlink" Target="https://www.justdoorsuk.com/window-order.php?product=white-window-style-6" TargetMode="External"/><Relationship Id="rId5" Type="http://schemas.openxmlformats.org/officeDocument/2006/relationships/hyperlink" Target="https://www.justdoorsuk.com/window-order.php?product=white-window-style-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0</v>
      </c>
      <c r="D1" s="4" t="s">
        <v>1</v>
      </c>
      <c r="E1" s="2" t="s">
        <v>2</v>
      </c>
      <c r="F1" s="4" t="s">
        <v>3</v>
      </c>
      <c r="G1" s="5" t="s">
        <v>4</v>
      </c>
      <c r="H1" s="6" t="s">
        <v>5</v>
      </c>
      <c r="I1" s="2" t="s">
        <v>6</v>
      </c>
      <c r="J1" s="2" t="s">
        <v>7</v>
      </c>
      <c r="K1" s="4" t="s">
        <v>8</v>
      </c>
      <c r="L1" s="7" t="s">
        <v>9</v>
      </c>
      <c r="M1" s="7" t="s">
        <v>10</v>
      </c>
      <c r="N1" s="4" t="s">
        <v>11</v>
      </c>
      <c r="O1" s="4" t="s">
        <v>12</v>
      </c>
      <c r="P1" s="4" t="s">
        <v>13</v>
      </c>
      <c r="Q1" s="2" t="s">
        <v>14</v>
      </c>
      <c r="R1" s="4" t="s">
        <v>15</v>
      </c>
      <c r="S1" s="8" t="s">
        <v>16</v>
      </c>
      <c r="T1" s="8" t="s">
        <v>17</v>
      </c>
    </row>
    <row r="2">
      <c r="A2" s="9"/>
      <c r="B2" s="10">
        <v>1.56601E7</v>
      </c>
      <c r="C2" s="11" t="s">
        <v>18</v>
      </c>
      <c r="D2" s="10" t="s">
        <v>19</v>
      </c>
      <c r="E2" s="9"/>
      <c r="F2" s="12" t="s">
        <v>20</v>
      </c>
      <c r="G2" s="13">
        <v>175.83</v>
      </c>
      <c r="H2" s="14" t="s">
        <v>21</v>
      </c>
      <c r="I2" s="15" t="str">
        <f t="shared" ref="I2:I46" si="1">IF(J2="","",J2/1.2)</f>
        <v/>
      </c>
      <c r="J2" s="16"/>
      <c r="K2" s="17" t="str">
        <f t="shared" ref="K2:K100" si="2">IF(I2="","",(SUM(I2-G2)/G2))</f>
        <v/>
      </c>
      <c r="L2" s="18">
        <v>0.0</v>
      </c>
      <c r="M2" s="18">
        <v>0.0</v>
      </c>
      <c r="N2" s="12" t="s">
        <v>22</v>
      </c>
      <c r="O2" s="12" t="s">
        <v>23</v>
      </c>
      <c r="P2" s="12" t="s">
        <v>24</v>
      </c>
      <c r="Q2" s="19" t="s">
        <v>25</v>
      </c>
      <c r="R2" s="10" t="s">
        <v>26</v>
      </c>
      <c r="S2" s="20" t="str">
        <f>IFERROR(__xludf.DUMMYFUNCTION("iferror(REGEXEXTRACT(Q2, ""https?://(?:www\.)?([^./]+\.[^./]+)""), CONCAT(""Supplier "",P2))
"),"justdoorsuk.com")</f>
        <v>justdoorsuk.com</v>
      </c>
      <c r="T2" s="12" t="str">
        <f>IFERROR(__xludf.DUMMYFUNCTION("if(iferror(REGEXEXTRACT(Q2, ""https?://(?:www\.)?([^./]+\.[^./]+)""), ""No"" )= ""No"", ""No"", ""Yes"")"),"Yes")</f>
        <v>Yes</v>
      </c>
    </row>
    <row r="3">
      <c r="A3" s="9"/>
      <c r="B3" s="10">
        <v>1.5660102E7</v>
      </c>
      <c r="C3" s="11" t="s">
        <v>27</v>
      </c>
      <c r="D3" s="12" t="s">
        <v>28</v>
      </c>
      <c r="E3" s="9"/>
      <c r="F3" s="12" t="s">
        <v>20</v>
      </c>
      <c r="G3" s="13">
        <v>206.67</v>
      </c>
      <c r="H3" s="14" t="s">
        <v>21</v>
      </c>
      <c r="I3" s="15" t="str">
        <f t="shared" si="1"/>
        <v/>
      </c>
      <c r="J3" s="16"/>
      <c r="K3" s="17" t="str">
        <f t="shared" si="2"/>
        <v/>
      </c>
      <c r="L3" s="18">
        <v>0.0</v>
      </c>
      <c r="M3" s="18">
        <v>0.0</v>
      </c>
      <c r="N3" s="12" t="s">
        <v>22</v>
      </c>
      <c r="O3" s="12" t="s">
        <v>23</v>
      </c>
      <c r="P3" s="12" t="s">
        <v>24</v>
      </c>
      <c r="Q3" s="19" t="s">
        <v>25</v>
      </c>
      <c r="R3" s="12" t="s">
        <v>29</v>
      </c>
      <c r="S3" s="20" t="str">
        <f>IFERROR(__xludf.DUMMYFUNCTION("iferror(REGEXEXTRACT(Q3, ""https?://(?:www\.)?([^./]+\.[^./]+)""), CONCAT(""Supplier "",P3))
"),"justdoorsuk.com")</f>
        <v>justdoorsuk.com</v>
      </c>
      <c r="T3" s="12" t="str">
        <f>IFERROR(__xludf.DUMMYFUNCTION("if(iferror(REGEXEXTRACT(Q3, ""https?://(?:www\.)?([^./]+\.[^./]+)""), ""No"" )= ""No"", ""No"", ""Yes"")"),"Yes")</f>
        <v>Yes</v>
      </c>
    </row>
    <row r="4">
      <c r="A4" s="9"/>
      <c r="B4" s="10">
        <v>1.5660104E7</v>
      </c>
      <c r="C4" s="11" t="s">
        <v>30</v>
      </c>
      <c r="D4" s="12" t="s">
        <v>31</v>
      </c>
      <c r="E4" s="9"/>
      <c r="F4" s="12" t="s">
        <v>20</v>
      </c>
      <c r="G4" s="13">
        <v>237.5</v>
      </c>
      <c r="H4" s="14" t="s">
        <v>21</v>
      </c>
      <c r="I4" s="15" t="str">
        <f t="shared" si="1"/>
        <v/>
      </c>
      <c r="J4" s="16"/>
      <c r="K4" s="17" t="str">
        <f t="shared" si="2"/>
        <v/>
      </c>
      <c r="L4" s="18">
        <v>0.0</v>
      </c>
      <c r="M4" s="18">
        <v>0.0</v>
      </c>
      <c r="N4" s="12" t="s">
        <v>22</v>
      </c>
      <c r="O4" s="12" t="s">
        <v>23</v>
      </c>
      <c r="P4" s="12" t="s">
        <v>24</v>
      </c>
      <c r="Q4" s="19" t="s">
        <v>25</v>
      </c>
      <c r="R4" s="12" t="s">
        <v>29</v>
      </c>
      <c r="S4" s="20" t="str">
        <f>IFERROR(__xludf.DUMMYFUNCTION("iferror(REGEXEXTRACT(Q4, ""https?://(?:www\.)?([^./]+\.[^./]+)""), CONCAT(""Supplier "",P4))
"),"justdoorsuk.com")</f>
        <v>justdoorsuk.com</v>
      </c>
      <c r="T4" s="12" t="str">
        <f>IFERROR(__xludf.DUMMYFUNCTION("if(iferror(REGEXEXTRACT(Q4, ""https?://(?:www\.)?([^./]+\.[^./]+)""), ""No"" )= ""No"", ""No"", ""Yes"")"),"Yes")</f>
        <v>Yes</v>
      </c>
    </row>
    <row r="5">
      <c r="A5" s="9"/>
      <c r="B5" s="10">
        <v>1.5660106E7</v>
      </c>
      <c r="C5" s="11" t="s">
        <v>32</v>
      </c>
      <c r="D5" s="12" t="s">
        <v>33</v>
      </c>
      <c r="E5" s="9"/>
      <c r="F5" s="12" t="s">
        <v>20</v>
      </c>
      <c r="G5" s="13">
        <v>254.17</v>
      </c>
      <c r="H5" s="14" t="s">
        <v>21</v>
      </c>
      <c r="I5" s="15" t="str">
        <f t="shared" si="1"/>
        <v/>
      </c>
      <c r="J5" s="16"/>
      <c r="K5" s="17" t="str">
        <f t="shared" si="2"/>
        <v/>
      </c>
      <c r="L5" s="18">
        <v>0.0</v>
      </c>
      <c r="M5" s="18">
        <v>0.0</v>
      </c>
      <c r="N5" s="12" t="s">
        <v>22</v>
      </c>
      <c r="O5" s="12" t="s">
        <v>23</v>
      </c>
      <c r="P5" s="12" t="s">
        <v>24</v>
      </c>
      <c r="Q5" s="19" t="s">
        <v>25</v>
      </c>
      <c r="R5" s="12" t="s">
        <v>29</v>
      </c>
      <c r="S5" s="20" t="str">
        <f>IFERROR(__xludf.DUMMYFUNCTION("iferror(REGEXEXTRACT(Q5, ""https?://(?:www\.)?([^./]+\.[^./]+)""), CONCAT(""Supplier "",P5))
"),"justdoorsuk.com")</f>
        <v>justdoorsuk.com</v>
      </c>
      <c r="T5" s="12" t="str">
        <f>IFERROR(__xludf.DUMMYFUNCTION("if(iferror(REGEXEXTRACT(Q5, ""https?://(?:www\.)?([^./]+\.[^./]+)""), ""No"" )= ""No"", ""No"", ""Yes"")"),"Yes")</f>
        <v>Yes</v>
      </c>
    </row>
    <row r="6">
      <c r="A6" s="9"/>
      <c r="B6" s="12" t="s">
        <v>34</v>
      </c>
      <c r="C6" s="11" t="s">
        <v>34</v>
      </c>
      <c r="D6" s="12" t="s">
        <v>35</v>
      </c>
      <c r="E6" s="9"/>
      <c r="F6" s="12" t="s">
        <v>20</v>
      </c>
      <c r="G6" s="13">
        <v>238.33</v>
      </c>
      <c r="H6" s="14" t="s">
        <v>21</v>
      </c>
      <c r="I6" s="15" t="str">
        <f t="shared" si="1"/>
        <v/>
      </c>
      <c r="J6" s="16"/>
      <c r="K6" s="17" t="str">
        <f t="shared" si="2"/>
        <v/>
      </c>
      <c r="L6" s="18">
        <v>0.0</v>
      </c>
      <c r="M6" s="18">
        <v>0.0</v>
      </c>
      <c r="N6" s="12" t="s">
        <v>22</v>
      </c>
      <c r="O6" s="12" t="s">
        <v>23</v>
      </c>
      <c r="P6" s="12" t="s">
        <v>24</v>
      </c>
      <c r="Q6" s="19" t="s">
        <v>25</v>
      </c>
      <c r="R6" s="12" t="s">
        <v>36</v>
      </c>
      <c r="S6" s="20" t="str">
        <f>IFERROR(__xludf.DUMMYFUNCTION("iferror(REGEXEXTRACT(Q6, ""https?://(?:www\.)?([^./]+\.[^./]+)""), CONCAT(""Supplier "",P6))
"),"justdoorsuk.com")</f>
        <v>justdoorsuk.com</v>
      </c>
      <c r="T6" s="12" t="str">
        <f>IFERROR(__xludf.DUMMYFUNCTION("if(iferror(REGEXEXTRACT(Q6, ""https?://(?:www\.)?([^./]+\.[^./]+)""), ""No"" )= ""No"", ""No"", ""Yes"")"),"Yes")</f>
        <v>Yes</v>
      </c>
    </row>
    <row r="7">
      <c r="A7" s="9"/>
      <c r="B7" s="12" t="s">
        <v>37</v>
      </c>
      <c r="C7" s="11" t="s">
        <v>37</v>
      </c>
      <c r="D7" s="12" t="s">
        <v>38</v>
      </c>
      <c r="E7" s="9"/>
      <c r="F7" s="12" t="s">
        <v>20</v>
      </c>
      <c r="G7" s="13">
        <v>295.0</v>
      </c>
      <c r="H7" s="14" t="s">
        <v>21</v>
      </c>
      <c r="I7" s="15" t="str">
        <f t="shared" si="1"/>
        <v/>
      </c>
      <c r="J7" s="16"/>
      <c r="K7" s="17" t="str">
        <f t="shared" si="2"/>
        <v/>
      </c>
      <c r="L7" s="18">
        <v>0.0</v>
      </c>
      <c r="M7" s="18">
        <v>0.0</v>
      </c>
      <c r="N7" s="12" t="s">
        <v>22</v>
      </c>
      <c r="O7" s="12" t="s">
        <v>23</v>
      </c>
      <c r="P7" s="12" t="s">
        <v>24</v>
      </c>
      <c r="Q7" s="19" t="s">
        <v>25</v>
      </c>
      <c r="R7" s="12" t="s">
        <v>36</v>
      </c>
      <c r="S7" s="20" t="str">
        <f>IFERROR(__xludf.DUMMYFUNCTION("iferror(REGEXEXTRACT(Q7, ""https?://(?:www\.)?([^./]+\.[^./]+)""), CONCAT(""Supplier "",P7))
"),"justdoorsuk.com")</f>
        <v>justdoorsuk.com</v>
      </c>
      <c r="T7" s="12" t="str">
        <f>IFERROR(__xludf.DUMMYFUNCTION("if(iferror(REGEXEXTRACT(Q7, ""https?://(?:www\.)?([^./]+\.[^./]+)""), ""No"" )= ""No"", ""No"", ""Yes"")"),"Yes")</f>
        <v>Yes</v>
      </c>
    </row>
    <row r="8">
      <c r="A8" s="9"/>
      <c r="B8" s="12" t="s">
        <v>39</v>
      </c>
      <c r="C8" s="11" t="s">
        <v>39</v>
      </c>
      <c r="D8" s="12" t="s">
        <v>40</v>
      </c>
      <c r="E8" s="9"/>
      <c r="F8" s="12" t="s">
        <v>20</v>
      </c>
      <c r="G8" s="13">
        <v>350.83</v>
      </c>
      <c r="H8" s="14" t="s">
        <v>21</v>
      </c>
      <c r="I8" s="15" t="str">
        <f t="shared" si="1"/>
        <v/>
      </c>
      <c r="J8" s="16"/>
      <c r="K8" s="17" t="str">
        <f t="shared" si="2"/>
        <v/>
      </c>
      <c r="L8" s="18">
        <v>0.0</v>
      </c>
      <c r="M8" s="18">
        <v>0.0</v>
      </c>
      <c r="N8" s="12" t="s">
        <v>22</v>
      </c>
      <c r="O8" s="12" t="s">
        <v>23</v>
      </c>
      <c r="P8" s="12" t="s">
        <v>24</v>
      </c>
      <c r="Q8" s="19" t="s">
        <v>25</v>
      </c>
      <c r="R8" s="12" t="s">
        <v>36</v>
      </c>
      <c r="S8" s="20" t="str">
        <f>IFERROR(__xludf.DUMMYFUNCTION("iferror(REGEXEXTRACT(Q8, ""https?://(?:www\.)?([^./]+\.[^./]+)""), CONCAT(""Supplier "",P8))
"),"justdoorsuk.com")</f>
        <v>justdoorsuk.com</v>
      </c>
      <c r="T8" s="12" t="str">
        <f>IFERROR(__xludf.DUMMYFUNCTION("if(iferror(REGEXEXTRACT(Q8, ""https?://(?:www\.)?([^./]+\.[^./]+)""), ""No"" )= ""No"", ""No"", ""Yes"")"),"Yes")</f>
        <v>Yes</v>
      </c>
    </row>
    <row r="9">
      <c r="A9" s="9"/>
      <c r="B9" s="12" t="s">
        <v>41</v>
      </c>
      <c r="C9" s="11" t="s">
        <v>41</v>
      </c>
      <c r="D9" s="12" t="s">
        <v>42</v>
      </c>
      <c r="E9" s="9"/>
      <c r="F9" s="12" t="s">
        <v>20</v>
      </c>
      <c r="G9" s="13">
        <v>388.33</v>
      </c>
      <c r="H9" s="14" t="s">
        <v>21</v>
      </c>
      <c r="I9" s="15" t="str">
        <f t="shared" si="1"/>
        <v/>
      </c>
      <c r="J9" s="16"/>
      <c r="K9" s="17" t="str">
        <f t="shared" si="2"/>
        <v/>
      </c>
      <c r="L9" s="18">
        <v>0.0</v>
      </c>
      <c r="M9" s="18">
        <v>0.0</v>
      </c>
      <c r="N9" s="12" t="s">
        <v>22</v>
      </c>
      <c r="O9" s="12" t="s">
        <v>23</v>
      </c>
      <c r="P9" s="12" t="s">
        <v>24</v>
      </c>
      <c r="Q9" s="19" t="s">
        <v>25</v>
      </c>
      <c r="R9" s="10" t="s">
        <v>36</v>
      </c>
      <c r="S9" s="20" t="str">
        <f>IFERROR(__xludf.DUMMYFUNCTION("iferror(REGEXEXTRACT(Q9, ""https?://(?:www\.)?([^./]+\.[^./]+)""), CONCAT(""Supplier "",P9))
"),"justdoorsuk.com")</f>
        <v>justdoorsuk.com</v>
      </c>
      <c r="T9" s="12" t="str">
        <f>IFERROR(__xludf.DUMMYFUNCTION("if(iferror(REGEXEXTRACT(Q9, ""https?://(?:www\.)?([^./]+\.[^./]+)""), ""No"" )= ""No"", ""No"", ""Yes"")"),"Yes")</f>
        <v>Yes</v>
      </c>
    </row>
    <row r="10">
      <c r="A10" s="9"/>
      <c r="B10" s="12" t="s">
        <v>43</v>
      </c>
      <c r="C10" s="11" t="s">
        <v>43</v>
      </c>
      <c r="D10" s="12" t="s">
        <v>44</v>
      </c>
      <c r="E10" s="9"/>
      <c r="F10" s="12" t="s">
        <v>20</v>
      </c>
      <c r="G10" s="13">
        <v>200.0</v>
      </c>
      <c r="H10" s="14" t="s">
        <v>21</v>
      </c>
      <c r="I10" s="15" t="str">
        <f t="shared" si="1"/>
        <v/>
      </c>
      <c r="J10" s="16"/>
      <c r="K10" s="17" t="str">
        <f t="shared" si="2"/>
        <v/>
      </c>
      <c r="L10" s="18">
        <v>0.0</v>
      </c>
      <c r="M10" s="18">
        <v>0.0</v>
      </c>
      <c r="N10" s="12" t="s">
        <v>22</v>
      </c>
      <c r="O10" s="12" t="s">
        <v>45</v>
      </c>
      <c r="P10" s="12" t="s">
        <v>24</v>
      </c>
      <c r="Q10" s="19" t="s">
        <v>46</v>
      </c>
      <c r="R10" s="12" t="s">
        <v>47</v>
      </c>
      <c r="S10" s="20" t="str">
        <f>IFERROR(__xludf.DUMMYFUNCTION("iferror(REGEXEXTRACT(Q10, ""https?://(?:www\.)?([^./]+\.[^./]+)""), CONCAT(""Supplier "",P10))
"),"justdoorsuk.com")</f>
        <v>justdoorsuk.com</v>
      </c>
      <c r="T10" s="12" t="str">
        <f>IFERROR(__xludf.DUMMYFUNCTION("if(iferror(REGEXEXTRACT(Q10, ""https?://(?:www\.)?([^./]+\.[^./]+)""), ""No"" )= ""No"", ""No"", ""Yes"")"),"Yes")</f>
        <v>Yes</v>
      </c>
    </row>
    <row r="11">
      <c r="A11" s="9"/>
      <c r="B11" s="12" t="s">
        <v>48</v>
      </c>
      <c r="C11" s="11" t="s">
        <v>48</v>
      </c>
      <c r="D11" s="12" t="s">
        <v>49</v>
      </c>
      <c r="E11" s="9"/>
      <c r="F11" s="12" t="s">
        <v>20</v>
      </c>
      <c r="G11" s="13">
        <v>226.67</v>
      </c>
      <c r="H11" s="14" t="s">
        <v>21</v>
      </c>
      <c r="I11" s="15" t="str">
        <f t="shared" si="1"/>
        <v/>
      </c>
      <c r="J11" s="16"/>
      <c r="K11" s="17" t="str">
        <f t="shared" si="2"/>
        <v/>
      </c>
      <c r="L11" s="18">
        <v>0.0</v>
      </c>
      <c r="M11" s="18">
        <v>0.0</v>
      </c>
      <c r="N11" s="12" t="s">
        <v>22</v>
      </c>
      <c r="O11" s="12" t="s">
        <v>45</v>
      </c>
      <c r="P11" s="12" t="s">
        <v>24</v>
      </c>
      <c r="Q11" s="19" t="s">
        <v>46</v>
      </c>
      <c r="R11" s="12" t="s">
        <v>47</v>
      </c>
      <c r="S11" s="20" t="str">
        <f>IFERROR(__xludf.DUMMYFUNCTION("iferror(REGEXEXTRACT(Q11, ""https?://(?:www\.)?([^./]+\.[^./]+)""), CONCAT(""Supplier "",P11))
"),"justdoorsuk.com")</f>
        <v>justdoorsuk.com</v>
      </c>
      <c r="T11" s="12" t="str">
        <f>IFERROR(__xludf.DUMMYFUNCTION("if(iferror(REGEXEXTRACT(Q11, ""https?://(?:www\.)?([^./]+\.[^./]+)""), ""No"" )= ""No"", ""No"", ""Yes"")"),"Yes")</f>
        <v>Yes</v>
      </c>
    </row>
    <row r="12">
      <c r="A12" s="9"/>
      <c r="B12" s="12" t="s">
        <v>50</v>
      </c>
      <c r="C12" s="11" t="s">
        <v>50</v>
      </c>
      <c r="D12" s="12" t="s">
        <v>51</v>
      </c>
      <c r="E12" s="9"/>
      <c r="F12" s="12" t="s">
        <v>20</v>
      </c>
      <c r="G12" s="13">
        <v>206.66</v>
      </c>
      <c r="H12" s="14" t="s">
        <v>21</v>
      </c>
      <c r="I12" s="15" t="str">
        <f t="shared" si="1"/>
        <v/>
      </c>
      <c r="J12" s="16"/>
      <c r="K12" s="17" t="str">
        <f t="shared" si="2"/>
        <v/>
      </c>
      <c r="L12" s="18">
        <v>0.0</v>
      </c>
      <c r="M12" s="18">
        <v>0.0</v>
      </c>
      <c r="N12" s="12" t="s">
        <v>22</v>
      </c>
      <c r="O12" s="12" t="s">
        <v>52</v>
      </c>
      <c r="P12" s="12" t="s">
        <v>24</v>
      </c>
      <c r="Q12" s="19" t="s">
        <v>53</v>
      </c>
      <c r="R12" s="12" t="s">
        <v>54</v>
      </c>
      <c r="S12" s="20" t="str">
        <f>IFERROR(__xludf.DUMMYFUNCTION("iferror(REGEXEXTRACT(Q12, ""https?://(?:www\.)?([^./]+\.[^./]+)""), CONCAT(""Supplier "",P12))
"),"justdoorsuk.com")</f>
        <v>justdoorsuk.com</v>
      </c>
      <c r="T12" s="12" t="str">
        <f>IFERROR(__xludf.DUMMYFUNCTION("if(iferror(REGEXEXTRACT(Q12, ""https?://(?:www\.)?([^./]+\.[^./]+)""), ""No"" )= ""No"", ""No"", ""Yes"")"),"Yes")</f>
        <v>Yes</v>
      </c>
    </row>
    <row r="13">
      <c r="A13" s="9"/>
      <c r="B13" s="12" t="s">
        <v>55</v>
      </c>
      <c r="C13" s="11" t="s">
        <v>55</v>
      </c>
      <c r="D13" s="12" t="s">
        <v>56</v>
      </c>
      <c r="E13" s="9"/>
      <c r="F13" s="12" t="s">
        <v>20</v>
      </c>
      <c r="G13" s="13">
        <v>256.67</v>
      </c>
      <c r="H13" s="14" t="s">
        <v>21</v>
      </c>
      <c r="I13" s="15" t="str">
        <f t="shared" si="1"/>
        <v/>
      </c>
      <c r="J13" s="16"/>
      <c r="K13" s="17" t="str">
        <f t="shared" si="2"/>
        <v/>
      </c>
      <c r="L13" s="18">
        <v>0.0</v>
      </c>
      <c r="M13" s="18">
        <v>0.0</v>
      </c>
      <c r="N13" s="12" t="s">
        <v>22</v>
      </c>
      <c r="O13" s="12" t="s">
        <v>52</v>
      </c>
      <c r="P13" s="12" t="s">
        <v>24</v>
      </c>
      <c r="Q13" s="19" t="s">
        <v>53</v>
      </c>
      <c r="R13" s="12" t="s">
        <v>54</v>
      </c>
      <c r="S13" s="20" t="str">
        <f>IFERROR(__xludf.DUMMYFUNCTION("iferror(REGEXEXTRACT(Q13, ""https?://(?:www\.)?([^./]+\.[^./]+)""), CONCAT(""Supplier "",P13))
"),"justdoorsuk.com")</f>
        <v>justdoorsuk.com</v>
      </c>
      <c r="T13" s="12" t="str">
        <f>IFERROR(__xludf.DUMMYFUNCTION("if(iferror(REGEXEXTRACT(Q13, ""https?://(?:www\.)?([^./]+\.[^./]+)""), ""No"" )= ""No"", ""No"", ""Yes"")"),"Yes")</f>
        <v>Yes</v>
      </c>
    </row>
    <row r="14">
      <c r="A14" s="9"/>
      <c r="B14" s="12" t="s">
        <v>57</v>
      </c>
      <c r="C14" s="11" t="s">
        <v>57</v>
      </c>
      <c r="D14" s="12" t="s">
        <v>58</v>
      </c>
      <c r="E14" s="9"/>
      <c r="F14" s="12" t="s">
        <v>20</v>
      </c>
      <c r="G14" s="13">
        <v>257.5</v>
      </c>
      <c r="H14" s="14" t="s">
        <v>21</v>
      </c>
      <c r="I14" s="15" t="str">
        <f t="shared" si="1"/>
        <v/>
      </c>
      <c r="J14" s="16"/>
      <c r="K14" s="17" t="str">
        <f t="shared" si="2"/>
        <v/>
      </c>
      <c r="L14" s="18">
        <v>0.0</v>
      </c>
      <c r="M14" s="18">
        <v>0.0</v>
      </c>
      <c r="N14" s="12" t="s">
        <v>22</v>
      </c>
      <c r="O14" s="12" t="s">
        <v>52</v>
      </c>
      <c r="P14" s="12" t="s">
        <v>24</v>
      </c>
      <c r="Q14" s="19" t="s">
        <v>53</v>
      </c>
      <c r="R14" s="12" t="s">
        <v>59</v>
      </c>
      <c r="S14" s="20" t="str">
        <f>IFERROR(__xludf.DUMMYFUNCTION("iferror(REGEXEXTRACT(Q14, ""https?://(?:www\.)?([^./]+\.[^./]+)""), CONCAT(""Supplier "",P14))
"),"justdoorsuk.com")</f>
        <v>justdoorsuk.com</v>
      </c>
      <c r="T14" s="12" t="str">
        <f>IFERROR(__xludf.DUMMYFUNCTION("if(iferror(REGEXEXTRACT(Q14, ""https?://(?:www\.)?([^./]+\.[^./]+)""), ""No"" )= ""No"", ""No"", ""Yes"")"),"Yes")</f>
        <v>Yes</v>
      </c>
    </row>
    <row r="15">
      <c r="A15" s="9"/>
      <c r="B15" s="12" t="s">
        <v>60</v>
      </c>
      <c r="C15" s="11" t="s">
        <v>60</v>
      </c>
      <c r="D15" s="12" t="s">
        <v>61</v>
      </c>
      <c r="E15" s="9"/>
      <c r="F15" s="12" t="s">
        <v>20</v>
      </c>
      <c r="G15" s="13">
        <v>307.5</v>
      </c>
      <c r="H15" s="14" t="s">
        <v>21</v>
      </c>
      <c r="I15" s="15" t="str">
        <f t="shared" si="1"/>
        <v/>
      </c>
      <c r="J15" s="16"/>
      <c r="K15" s="17" t="str">
        <f t="shared" si="2"/>
        <v/>
      </c>
      <c r="L15" s="18">
        <v>0.0</v>
      </c>
      <c r="M15" s="18">
        <v>0.0</v>
      </c>
      <c r="N15" s="12" t="s">
        <v>22</v>
      </c>
      <c r="O15" s="12" t="s">
        <v>52</v>
      </c>
      <c r="P15" s="12" t="s">
        <v>24</v>
      </c>
      <c r="Q15" s="19" t="s">
        <v>53</v>
      </c>
      <c r="R15" s="12" t="s">
        <v>59</v>
      </c>
      <c r="S15" s="20" t="str">
        <f>IFERROR(__xludf.DUMMYFUNCTION("iferror(REGEXEXTRACT(Q15, ""https?://(?:www\.)?([^./]+\.[^./]+)""), CONCAT(""Supplier "",P15))
"),"justdoorsuk.com")</f>
        <v>justdoorsuk.com</v>
      </c>
      <c r="T15" s="12" t="str">
        <f>IFERROR(__xludf.DUMMYFUNCTION("if(iferror(REGEXEXTRACT(Q15, ""https?://(?:www\.)?([^./]+\.[^./]+)""), ""No"" )= ""No"", ""No"", ""Yes"")"),"Yes")</f>
        <v>Yes</v>
      </c>
    </row>
    <row r="16">
      <c r="A16" s="9"/>
      <c r="B16" s="10">
        <v>1.5660128E7</v>
      </c>
      <c r="C16" s="11" t="s">
        <v>62</v>
      </c>
      <c r="D16" s="12" t="s">
        <v>63</v>
      </c>
      <c r="E16" s="9"/>
      <c r="F16" s="12" t="s">
        <v>20</v>
      </c>
      <c r="G16" s="13">
        <v>241.67</v>
      </c>
      <c r="H16" s="14" t="s">
        <v>21</v>
      </c>
      <c r="I16" s="15" t="str">
        <f t="shared" si="1"/>
        <v/>
      </c>
      <c r="J16" s="16"/>
      <c r="K16" s="17" t="str">
        <f t="shared" si="2"/>
        <v/>
      </c>
      <c r="L16" s="18">
        <v>0.0</v>
      </c>
      <c r="M16" s="18">
        <v>0.0</v>
      </c>
      <c r="N16" s="12" t="s">
        <v>22</v>
      </c>
      <c r="O16" s="12" t="s">
        <v>45</v>
      </c>
      <c r="P16" s="12" t="s">
        <v>24</v>
      </c>
      <c r="Q16" s="19" t="s">
        <v>46</v>
      </c>
      <c r="R16" s="12" t="s">
        <v>64</v>
      </c>
      <c r="S16" s="20" t="str">
        <f>IFERROR(__xludf.DUMMYFUNCTION("iferror(REGEXEXTRACT(Q16, ""https?://(?:www\.)?([^./]+\.[^./]+)""), CONCAT(""Supplier "",P16))
"),"justdoorsuk.com")</f>
        <v>justdoorsuk.com</v>
      </c>
      <c r="T16" s="12" t="str">
        <f>IFERROR(__xludf.DUMMYFUNCTION("if(iferror(REGEXEXTRACT(Q16, ""https?://(?:www\.)?([^./]+\.[^./]+)""), ""No"" )= ""No"", ""No"", ""Yes"")"),"Yes")</f>
        <v>Yes</v>
      </c>
    </row>
    <row r="17">
      <c r="A17" s="9"/>
      <c r="B17" s="12" t="s">
        <v>65</v>
      </c>
      <c r="C17" s="11" t="s">
        <v>65</v>
      </c>
      <c r="D17" s="12" t="s">
        <v>66</v>
      </c>
      <c r="E17" s="9"/>
      <c r="F17" s="12" t="s">
        <v>20</v>
      </c>
      <c r="G17" s="13">
        <v>240.0</v>
      </c>
      <c r="H17" s="14" t="s">
        <v>21</v>
      </c>
      <c r="I17" s="15" t="str">
        <f t="shared" si="1"/>
        <v/>
      </c>
      <c r="J17" s="16"/>
      <c r="K17" s="17" t="str">
        <f t="shared" si="2"/>
        <v/>
      </c>
      <c r="L17" s="18">
        <v>0.0</v>
      </c>
      <c r="M17" s="18">
        <v>0.0</v>
      </c>
      <c r="N17" s="12" t="s">
        <v>22</v>
      </c>
      <c r="O17" s="12" t="s">
        <v>67</v>
      </c>
      <c r="P17" s="12" t="s">
        <v>24</v>
      </c>
      <c r="Q17" s="19" t="s">
        <v>68</v>
      </c>
      <c r="R17" s="12" t="s">
        <v>69</v>
      </c>
      <c r="S17" s="20" t="str">
        <f>IFERROR(__xludf.DUMMYFUNCTION("iferror(REGEXEXTRACT(Q17, ""https?://(?:www\.)?([^./]+\.[^./]+)""), CONCAT(""Supplier "",P17))
"),"justdoorsuk.com")</f>
        <v>justdoorsuk.com</v>
      </c>
      <c r="T17" s="12" t="str">
        <f>IFERROR(__xludf.DUMMYFUNCTION("if(iferror(REGEXEXTRACT(Q17, ""https?://(?:www\.)?([^./]+\.[^./]+)""), ""No"" )= ""No"", ""No"", ""Yes"")"),"Yes")</f>
        <v>Yes</v>
      </c>
    </row>
    <row r="18">
      <c r="A18" s="9"/>
      <c r="B18" s="12" t="s">
        <v>70</v>
      </c>
      <c r="C18" s="11" t="s">
        <v>70</v>
      </c>
      <c r="D18" s="12" t="s">
        <v>71</v>
      </c>
      <c r="E18" s="9"/>
      <c r="F18" s="12" t="s">
        <v>20</v>
      </c>
      <c r="G18" s="13">
        <v>268.33</v>
      </c>
      <c r="H18" s="14" t="s">
        <v>21</v>
      </c>
      <c r="I18" s="15" t="str">
        <f t="shared" si="1"/>
        <v/>
      </c>
      <c r="J18" s="16"/>
      <c r="K18" s="17" t="str">
        <f t="shared" si="2"/>
        <v/>
      </c>
      <c r="L18" s="18">
        <v>0.0</v>
      </c>
      <c r="M18" s="18">
        <v>0.0</v>
      </c>
      <c r="N18" s="12" t="s">
        <v>22</v>
      </c>
      <c r="O18" s="12" t="s">
        <v>67</v>
      </c>
      <c r="P18" s="12" t="s">
        <v>24</v>
      </c>
      <c r="Q18" s="19" t="s">
        <v>68</v>
      </c>
      <c r="R18" s="12" t="s">
        <v>69</v>
      </c>
      <c r="S18" s="20" t="str">
        <f>IFERROR(__xludf.DUMMYFUNCTION("iferror(REGEXEXTRACT(Q18, ""https?://(?:www\.)?([^./]+\.[^./]+)""), CONCAT(""Supplier "",P18))
"),"justdoorsuk.com")</f>
        <v>justdoorsuk.com</v>
      </c>
      <c r="T18" s="12" t="str">
        <f>IFERROR(__xludf.DUMMYFUNCTION("if(iferror(REGEXEXTRACT(Q18, ""https?://(?:www\.)?([^./]+\.[^./]+)""), ""No"" )= ""No"", ""No"", ""Yes"")"),"Yes")</f>
        <v>Yes</v>
      </c>
    </row>
    <row r="19">
      <c r="A19" s="9"/>
      <c r="B19" s="12" t="s">
        <v>72</v>
      </c>
      <c r="C19" s="11" t="s">
        <v>72</v>
      </c>
      <c r="D19" s="12" t="s">
        <v>73</v>
      </c>
      <c r="E19" s="9"/>
      <c r="F19" s="12" t="s">
        <v>20</v>
      </c>
      <c r="G19" s="13">
        <v>285.83</v>
      </c>
      <c r="H19" s="14" t="s">
        <v>21</v>
      </c>
      <c r="I19" s="15" t="str">
        <f t="shared" si="1"/>
        <v/>
      </c>
      <c r="J19" s="16"/>
      <c r="K19" s="17" t="str">
        <f t="shared" si="2"/>
        <v/>
      </c>
      <c r="L19" s="18">
        <v>0.0</v>
      </c>
      <c r="M19" s="18">
        <v>0.0</v>
      </c>
      <c r="N19" s="12" t="s">
        <v>22</v>
      </c>
      <c r="O19" s="12" t="s">
        <v>67</v>
      </c>
      <c r="P19" s="12" t="s">
        <v>24</v>
      </c>
      <c r="Q19" s="19" t="s">
        <v>68</v>
      </c>
      <c r="R19" s="12" t="s">
        <v>69</v>
      </c>
      <c r="S19" s="20" t="str">
        <f>IFERROR(__xludf.DUMMYFUNCTION("iferror(REGEXEXTRACT(Q19, ""https?://(?:www\.)?([^./]+\.[^./]+)""), CONCAT(""Supplier "",P19))
"),"justdoorsuk.com")</f>
        <v>justdoorsuk.com</v>
      </c>
      <c r="T19" s="12" t="str">
        <f>IFERROR(__xludf.DUMMYFUNCTION("if(iferror(REGEXEXTRACT(Q19, ""https?://(?:www\.)?([^./]+\.[^./]+)""), ""No"" )= ""No"", ""No"", ""Yes"")"),"Yes")</f>
        <v>Yes</v>
      </c>
    </row>
    <row r="20">
      <c r="A20" s="9"/>
      <c r="B20" s="12" t="s">
        <v>74</v>
      </c>
      <c r="C20" s="11" t="s">
        <v>74</v>
      </c>
      <c r="D20" s="12" t="s">
        <v>75</v>
      </c>
      <c r="E20" s="9"/>
      <c r="F20" s="12" t="s">
        <v>20</v>
      </c>
      <c r="G20" s="13">
        <v>313.33</v>
      </c>
      <c r="H20" s="14" t="s">
        <v>21</v>
      </c>
      <c r="I20" s="15" t="str">
        <f t="shared" si="1"/>
        <v/>
      </c>
      <c r="J20" s="16"/>
      <c r="K20" s="17" t="str">
        <f t="shared" si="2"/>
        <v/>
      </c>
      <c r="L20" s="18">
        <v>0.0</v>
      </c>
      <c r="M20" s="18">
        <v>0.0</v>
      </c>
      <c r="N20" s="12" t="s">
        <v>22</v>
      </c>
      <c r="O20" s="12" t="s">
        <v>67</v>
      </c>
      <c r="P20" s="12" t="s">
        <v>24</v>
      </c>
      <c r="Q20" s="19" t="s">
        <v>68</v>
      </c>
      <c r="R20" s="12" t="s">
        <v>69</v>
      </c>
      <c r="S20" s="20" t="str">
        <f>IFERROR(__xludf.DUMMYFUNCTION("iferror(REGEXEXTRACT(Q20, ""https?://(?:www\.)?([^./]+\.[^./]+)""), CONCAT(""Supplier "",P20))
"),"justdoorsuk.com")</f>
        <v>justdoorsuk.com</v>
      </c>
      <c r="T20" s="12" t="str">
        <f>IFERROR(__xludf.DUMMYFUNCTION("if(iferror(REGEXEXTRACT(Q20, ""https?://(?:www\.)?([^./]+\.[^./]+)""), ""No"" )= ""No"", ""No"", ""Yes"")"),"Yes")</f>
        <v>Yes</v>
      </c>
    </row>
    <row r="21">
      <c r="A21" s="9"/>
      <c r="B21" s="12" t="s">
        <v>76</v>
      </c>
      <c r="C21" s="11" t="s">
        <v>76</v>
      </c>
      <c r="D21" s="12" t="s">
        <v>77</v>
      </c>
      <c r="E21" s="9"/>
      <c r="F21" s="12" t="s">
        <v>20</v>
      </c>
      <c r="G21" s="13">
        <v>342.5</v>
      </c>
      <c r="H21" s="14" t="s">
        <v>21</v>
      </c>
      <c r="I21" s="15" t="str">
        <f t="shared" si="1"/>
        <v/>
      </c>
      <c r="J21" s="16"/>
      <c r="K21" s="17" t="str">
        <f t="shared" si="2"/>
        <v/>
      </c>
      <c r="L21" s="18">
        <v>0.0</v>
      </c>
      <c r="M21" s="18">
        <v>0.0</v>
      </c>
      <c r="N21" s="12" t="s">
        <v>22</v>
      </c>
      <c r="O21" s="12" t="s">
        <v>67</v>
      </c>
      <c r="P21" s="12" t="s">
        <v>24</v>
      </c>
      <c r="Q21" s="19" t="s">
        <v>68</v>
      </c>
      <c r="R21" s="12" t="s">
        <v>69</v>
      </c>
      <c r="S21" s="20" t="str">
        <f>IFERROR(__xludf.DUMMYFUNCTION("iferror(REGEXEXTRACT(Q21, ""https?://(?:www\.)?([^./]+\.[^./]+)""), CONCAT(""Supplier "",P21))
"),"justdoorsuk.com")</f>
        <v>justdoorsuk.com</v>
      </c>
      <c r="T21" s="12" t="str">
        <f>IFERROR(__xludf.DUMMYFUNCTION("if(iferror(REGEXEXTRACT(Q21, ""https?://(?:www\.)?([^./]+\.[^./]+)""), ""No"" )= ""No"", ""No"", ""Yes"")"),"Yes")</f>
        <v>Yes</v>
      </c>
    </row>
    <row r="22">
      <c r="A22" s="9"/>
      <c r="B22" s="12" t="s">
        <v>78</v>
      </c>
      <c r="C22" s="11" t="s">
        <v>78</v>
      </c>
      <c r="D22" s="12" t="s">
        <v>79</v>
      </c>
      <c r="E22" s="9"/>
      <c r="F22" s="12" t="s">
        <v>20</v>
      </c>
      <c r="G22" s="13">
        <v>375.0</v>
      </c>
      <c r="H22" s="14" t="s">
        <v>21</v>
      </c>
      <c r="I22" s="15" t="str">
        <f t="shared" si="1"/>
        <v/>
      </c>
      <c r="J22" s="16"/>
      <c r="K22" s="17" t="str">
        <f t="shared" si="2"/>
        <v/>
      </c>
      <c r="L22" s="18">
        <v>0.0</v>
      </c>
      <c r="M22" s="18">
        <v>0.0</v>
      </c>
      <c r="N22" s="12" t="s">
        <v>22</v>
      </c>
      <c r="O22" s="12" t="s">
        <v>67</v>
      </c>
      <c r="P22" s="12" t="s">
        <v>24</v>
      </c>
      <c r="Q22" s="19" t="s">
        <v>68</v>
      </c>
      <c r="R22" s="12" t="s">
        <v>69</v>
      </c>
      <c r="S22" s="20" t="str">
        <f>IFERROR(__xludf.DUMMYFUNCTION("iferror(REGEXEXTRACT(Q22, ""https?://(?:www\.)?([^./]+\.[^./]+)""), CONCAT(""Supplier "",P22))
"),"justdoorsuk.com")</f>
        <v>justdoorsuk.com</v>
      </c>
      <c r="T22" s="12" t="str">
        <f>IFERROR(__xludf.DUMMYFUNCTION("if(iferror(REGEXEXTRACT(Q22, ""https?://(?:www\.)?([^./]+\.[^./]+)""), ""No"" )= ""No"", ""No"", ""Yes"")"),"Yes")</f>
        <v>Yes</v>
      </c>
    </row>
    <row r="23">
      <c r="A23" s="9"/>
      <c r="B23" s="12" t="s">
        <v>80</v>
      </c>
      <c r="C23" s="11" t="s">
        <v>80</v>
      </c>
      <c r="D23" s="12" t="s">
        <v>81</v>
      </c>
      <c r="E23" s="9"/>
      <c r="F23" s="12" t="s">
        <v>20</v>
      </c>
      <c r="G23" s="13">
        <v>435.0</v>
      </c>
      <c r="H23" s="14" t="s">
        <v>21</v>
      </c>
      <c r="I23" s="15" t="str">
        <f t="shared" si="1"/>
        <v/>
      </c>
      <c r="J23" s="16"/>
      <c r="K23" s="17" t="str">
        <f t="shared" si="2"/>
        <v/>
      </c>
      <c r="L23" s="18">
        <v>0.0</v>
      </c>
      <c r="M23" s="18">
        <v>0.0</v>
      </c>
      <c r="N23" s="12" t="s">
        <v>22</v>
      </c>
      <c r="O23" s="12" t="s">
        <v>67</v>
      </c>
      <c r="P23" s="12" t="s">
        <v>24</v>
      </c>
      <c r="Q23" s="19" t="s">
        <v>68</v>
      </c>
      <c r="R23" s="12" t="s">
        <v>69</v>
      </c>
      <c r="S23" s="20" t="str">
        <f>IFERROR(__xludf.DUMMYFUNCTION("iferror(REGEXEXTRACT(Q23, ""https?://(?:www\.)?([^./]+\.[^./]+)""), CONCAT(""Supplier "",P23))
"),"justdoorsuk.com")</f>
        <v>justdoorsuk.com</v>
      </c>
      <c r="T23" s="12" t="str">
        <f>IFERROR(__xludf.DUMMYFUNCTION("if(iferror(REGEXEXTRACT(Q23, ""https?://(?:www\.)?([^./]+\.[^./]+)""), ""No"" )= ""No"", ""No"", ""Yes"")"),"Yes")</f>
        <v>Yes</v>
      </c>
    </row>
    <row r="24">
      <c r="A24" s="9"/>
      <c r="B24" s="12" t="s">
        <v>82</v>
      </c>
      <c r="C24" s="11" t="s">
        <v>82</v>
      </c>
      <c r="D24" s="12" t="s">
        <v>83</v>
      </c>
      <c r="E24" s="9"/>
      <c r="F24" s="12" t="s">
        <v>20</v>
      </c>
      <c r="G24" s="13">
        <v>301.67</v>
      </c>
      <c r="H24" s="14" t="s">
        <v>21</v>
      </c>
      <c r="I24" s="15" t="str">
        <f t="shared" si="1"/>
        <v/>
      </c>
      <c r="J24" s="16"/>
      <c r="K24" s="17" t="str">
        <f t="shared" si="2"/>
        <v/>
      </c>
      <c r="L24" s="18">
        <v>0.0</v>
      </c>
      <c r="M24" s="18">
        <v>0.0</v>
      </c>
      <c r="N24" s="12" t="s">
        <v>22</v>
      </c>
      <c r="O24" s="12" t="s">
        <v>67</v>
      </c>
      <c r="P24" s="12" t="s">
        <v>24</v>
      </c>
      <c r="Q24" s="19" t="s">
        <v>68</v>
      </c>
      <c r="R24" s="12" t="s">
        <v>84</v>
      </c>
      <c r="S24" s="20" t="str">
        <f>IFERROR(__xludf.DUMMYFUNCTION("iferror(REGEXEXTRACT(Q24, ""https?://(?:www\.)?([^./]+\.[^./]+)""), CONCAT(""Supplier "",P24))
"),"justdoorsuk.com")</f>
        <v>justdoorsuk.com</v>
      </c>
      <c r="T24" s="12" t="str">
        <f>IFERROR(__xludf.DUMMYFUNCTION("if(iferror(REGEXEXTRACT(Q24, ""https?://(?:www\.)?([^./]+\.[^./]+)""), ""No"" )= ""No"", ""No"", ""Yes"")"),"Yes")</f>
        <v>Yes</v>
      </c>
    </row>
    <row r="25">
      <c r="A25" s="9"/>
      <c r="B25" s="12" t="s">
        <v>85</v>
      </c>
      <c r="C25" s="11" t="s">
        <v>85</v>
      </c>
      <c r="D25" s="12" t="s">
        <v>86</v>
      </c>
      <c r="E25" s="9"/>
      <c r="F25" s="12" t="s">
        <v>20</v>
      </c>
      <c r="G25" s="13">
        <v>327.5</v>
      </c>
      <c r="H25" s="14" t="s">
        <v>21</v>
      </c>
      <c r="I25" s="15" t="str">
        <f t="shared" si="1"/>
        <v/>
      </c>
      <c r="J25" s="16"/>
      <c r="K25" s="17" t="str">
        <f t="shared" si="2"/>
        <v/>
      </c>
      <c r="L25" s="18">
        <v>0.0</v>
      </c>
      <c r="M25" s="18">
        <v>0.0</v>
      </c>
      <c r="N25" s="12" t="s">
        <v>22</v>
      </c>
      <c r="O25" s="12" t="s">
        <v>67</v>
      </c>
      <c r="P25" s="12" t="s">
        <v>24</v>
      </c>
      <c r="Q25" s="19" t="s">
        <v>68</v>
      </c>
      <c r="R25" s="12" t="s">
        <v>84</v>
      </c>
      <c r="S25" s="20" t="str">
        <f>IFERROR(__xludf.DUMMYFUNCTION("iferror(REGEXEXTRACT(Q25, ""https?://(?:www\.)?([^./]+\.[^./]+)""), CONCAT(""Supplier "",P25))
"),"justdoorsuk.com")</f>
        <v>justdoorsuk.com</v>
      </c>
      <c r="T25" s="12" t="str">
        <f>IFERROR(__xludf.DUMMYFUNCTION("if(iferror(REGEXEXTRACT(Q25, ""https?://(?:www\.)?([^./]+\.[^./]+)""), ""No"" )= ""No"", ""No"", ""Yes"")"),"Yes")</f>
        <v>Yes</v>
      </c>
    </row>
    <row r="26">
      <c r="A26" s="9"/>
      <c r="B26" s="12" t="s">
        <v>87</v>
      </c>
      <c r="C26" s="11" t="s">
        <v>87</v>
      </c>
      <c r="D26" s="12" t="s">
        <v>88</v>
      </c>
      <c r="E26" s="9"/>
      <c r="F26" s="12" t="s">
        <v>20</v>
      </c>
      <c r="G26" s="13">
        <v>333.33</v>
      </c>
      <c r="H26" s="14" t="s">
        <v>21</v>
      </c>
      <c r="I26" s="15" t="str">
        <f t="shared" si="1"/>
        <v/>
      </c>
      <c r="J26" s="16"/>
      <c r="K26" s="17" t="str">
        <f t="shared" si="2"/>
        <v/>
      </c>
      <c r="L26" s="18">
        <v>0.0</v>
      </c>
      <c r="M26" s="18">
        <v>0.0</v>
      </c>
      <c r="N26" s="12" t="s">
        <v>22</v>
      </c>
      <c r="O26" s="12" t="s">
        <v>89</v>
      </c>
      <c r="P26" s="12" t="s">
        <v>24</v>
      </c>
      <c r="Q26" s="19" t="s">
        <v>90</v>
      </c>
      <c r="R26" s="12" t="s">
        <v>91</v>
      </c>
      <c r="S26" s="20" t="str">
        <f>IFERROR(__xludf.DUMMYFUNCTION("iferror(REGEXEXTRACT(Q26, ""https?://(?:www\.)?([^./]+\.[^./]+)""), CONCAT(""Supplier "",P26))
"),"justdoorsuk.com")</f>
        <v>justdoorsuk.com</v>
      </c>
      <c r="T26" s="12" t="str">
        <f>IFERROR(__xludf.DUMMYFUNCTION("if(iferror(REGEXEXTRACT(Q26, ""https?://(?:www\.)?([^./]+\.[^./]+)""), ""No"" )= ""No"", ""No"", ""Yes"")"),"Yes")</f>
        <v>Yes</v>
      </c>
    </row>
    <row r="27">
      <c r="A27" s="9"/>
      <c r="B27" s="12" t="s">
        <v>92</v>
      </c>
      <c r="C27" s="11" t="s">
        <v>92</v>
      </c>
      <c r="D27" s="12" t="s">
        <v>93</v>
      </c>
      <c r="E27" s="9"/>
      <c r="F27" s="12" t="s">
        <v>20</v>
      </c>
      <c r="G27" s="13">
        <v>421.67</v>
      </c>
      <c r="H27" s="14" t="s">
        <v>21</v>
      </c>
      <c r="I27" s="15" t="str">
        <f t="shared" si="1"/>
        <v/>
      </c>
      <c r="J27" s="16"/>
      <c r="K27" s="17" t="str">
        <f t="shared" si="2"/>
        <v/>
      </c>
      <c r="L27" s="18">
        <v>0.0</v>
      </c>
      <c r="M27" s="18">
        <v>0.0</v>
      </c>
      <c r="N27" s="12" t="s">
        <v>22</v>
      </c>
      <c r="O27" s="12" t="s">
        <v>89</v>
      </c>
      <c r="P27" s="12" t="s">
        <v>24</v>
      </c>
      <c r="Q27" s="19" t="s">
        <v>90</v>
      </c>
      <c r="R27" s="12" t="s">
        <v>91</v>
      </c>
      <c r="S27" s="20" t="str">
        <f>IFERROR(__xludf.DUMMYFUNCTION("iferror(REGEXEXTRACT(Q27, ""https?://(?:www\.)?([^./]+\.[^./]+)""), CONCAT(""Supplier "",P27))
"),"justdoorsuk.com")</f>
        <v>justdoorsuk.com</v>
      </c>
      <c r="T27" s="12" t="str">
        <f>IFERROR(__xludf.DUMMYFUNCTION("if(iferror(REGEXEXTRACT(Q27, ""https?://(?:www\.)?([^./]+\.[^./]+)""), ""No"" )= ""No"", ""No"", ""Yes"")"),"Yes")</f>
        <v>Yes</v>
      </c>
    </row>
    <row r="28">
      <c r="A28" s="9"/>
      <c r="B28" s="12" t="s">
        <v>94</v>
      </c>
      <c r="C28" s="11" t="s">
        <v>94</v>
      </c>
      <c r="D28" s="12" t="s">
        <v>95</v>
      </c>
      <c r="E28" s="9"/>
      <c r="F28" s="12" t="s">
        <v>20</v>
      </c>
      <c r="G28" s="13">
        <v>547.5</v>
      </c>
      <c r="H28" s="14" t="s">
        <v>21</v>
      </c>
      <c r="I28" s="15" t="str">
        <f t="shared" si="1"/>
        <v/>
      </c>
      <c r="J28" s="16"/>
      <c r="K28" s="17" t="str">
        <f t="shared" si="2"/>
        <v/>
      </c>
      <c r="L28" s="18">
        <v>0.0</v>
      </c>
      <c r="M28" s="18">
        <v>0.0</v>
      </c>
      <c r="N28" s="12" t="s">
        <v>22</v>
      </c>
      <c r="O28" s="12" t="s">
        <v>96</v>
      </c>
      <c r="P28" s="12" t="s">
        <v>24</v>
      </c>
      <c r="Q28" s="19" t="s">
        <v>97</v>
      </c>
      <c r="R28" s="12" t="s">
        <v>98</v>
      </c>
      <c r="S28" s="20" t="str">
        <f>IFERROR(__xludf.DUMMYFUNCTION("iferror(REGEXEXTRACT(Q28, ""https?://(?:www\.)?([^./]+\.[^./]+)""), CONCAT(""Supplier "",P28))
"),"justdoorsuk.com")</f>
        <v>justdoorsuk.com</v>
      </c>
      <c r="T28" s="12" t="str">
        <f>IFERROR(__xludf.DUMMYFUNCTION("if(iferror(REGEXEXTRACT(Q28, ""https?://(?:www\.)?([^./]+\.[^./]+)""), ""No"" )= ""No"", ""No"", ""Yes"")"),"Yes")</f>
        <v>Yes</v>
      </c>
    </row>
    <row r="29">
      <c r="A29" s="9"/>
      <c r="B29" s="12" t="s">
        <v>99</v>
      </c>
      <c r="C29" s="11" t="s">
        <v>99</v>
      </c>
      <c r="D29" s="12" t="s">
        <v>100</v>
      </c>
      <c r="E29" s="9"/>
      <c r="F29" s="12" t="s">
        <v>20</v>
      </c>
      <c r="G29" s="13">
        <v>641.67</v>
      </c>
      <c r="H29" s="14" t="s">
        <v>21</v>
      </c>
      <c r="I29" s="15" t="str">
        <f t="shared" si="1"/>
        <v/>
      </c>
      <c r="J29" s="16"/>
      <c r="K29" s="17" t="str">
        <f t="shared" si="2"/>
        <v/>
      </c>
      <c r="L29" s="18">
        <v>0.0</v>
      </c>
      <c r="M29" s="18">
        <v>0.0</v>
      </c>
      <c r="N29" s="12" t="s">
        <v>22</v>
      </c>
      <c r="O29" s="12" t="s">
        <v>96</v>
      </c>
      <c r="P29" s="12" t="s">
        <v>24</v>
      </c>
      <c r="Q29" s="19" t="s">
        <v>97</v>
      </c>
      <c r="R29" s="12" t="s">
        <v>98</v>
      </c>
      <c r="S29" s="20" t="str">
        <f>IFERROR(__xludf.DUMMYFUNCTION("iferror(REGEXEXTRACT(Q29, ""https?://(?:www\.)?([^./]+\.[^./]+)""), CONCAT(""Supplier "",P29))
"),"justdoorsuk.com")</f>
        <v>justdoorsuk.com</v>
      </c>
      <c r="T29" s="12" t="str">
        <f>IFERROR(__xludf.DUMMYFUNCTION("if(iferror(REGEXEXTRACT(Q29, ""https?://(?:www\.)?([^./]+\.[^./]+)""), ""No"" )= ""No"", ""No"", ""Yes"")"),"Yes")</f>
        <v>Yes</v>
      </c>
    </row>
    <row r="30">
      <c r="A30" s="9"/>
      <c r="B30" s="12" t="s">
        <v>101</v>
      </c>
      <c r="C30" s="11" t="s">
        <v>101</v>
      </c>
      <c r="D30" s="12" t="s">
        <v>102</v>
      </c>
      <c r="E30" s="9"/>
      <c r="F30" s="12" t="s">
        <v>20</v>
      </c>
      <c r="G30" s="13">
        <v>390.33</v>
      </c>
      <c r="H30" s="14" t="s">
        <v>21</v>
      </c>
      <c r="I30" s="15" t="str">
        <f t="shared" si="1"/>
        <v/>
      </c>
      <c r="J30" s="16"/>
      <c r="K30" s="17" t="str">
        <f t="shared" si="2"/>
        <v/>
      </c>
      <c r="L30" s="18">
        <v>0.0</v>
      </c>
      <c r="M30" s="18">
        <v>0.0</v>
      </c>
      <c r="N30" s="12" t="s">
        <v>22</v>
      </c>
      <c r="O30" s="12" t="s">
        <v>103</v>
      </c>
      <c r="P30" s="12" t="s">
        <v>24</v>
      </c>
      <c r="Q30" s="19" t="s">
        <v>104</v>
      </c>
      <c r="R30" s="12" t="s">
        <v>105</v>
      </c>
      <c r="S30" s="20" t="str">
        <f>IFERROR(__xludf.DUMMYFUNCTION("iferror(REGEXEXTRACT(Q30, ""https?://(?:www\.)?([^./]+\.[^./]+)""), CONCAT(""Supplier "",P30))
"),"justdoorsuk.com")</f>
        <v>justdoorsuk.com</v>
      </c>
      <c r="T30" s="12" t="str">
        <f>IFERROR(__xludf.DUMMYFUNCTION("if(iferror(REGEXEXTRACT(Q30, ""https?://(?:www\.)?([^./]+\.[^./]+)""), ""No"" )= ""No"", ""No"", ""Yes"")"),"Yes")</f>
        <v>Yes</v>
      </c>
    </row>
    <row r="31">
      <c r="A31" s="9"/>
      <c r="B31" s="12" t="s">
        <v>106</v>
      </c>
      <c r="C31" s="11" t="s">
        <v>106</v>
      </c>
      <c r="D31" s="12" t="s">
        <v>107</v>
      </c>
      <c r="E31" s="9"/>
      <c r="F31" s="12" t="s">
        <v>20</v>
      </c>
      <c r="G31" s="13">
        <v>450.0</v>
      </c>
      <c r="H31" s="14" t="s">
        <v>21</v>
      </c>
      <c r="I31" s="15" t="str">
        <f t="shared" si="1"/>
        <v/>
      </c>
      <c r="J31" s="16"/>
      <c r="K31" s="17" t="str">
        <f t="shared" si="2"/>
        <v/>
      </c>
      <c r="L31" s="18">
        <v>0.0</v>
      </c>
      <c r="M31" s="18">
        <v>0.0</v>
      </c>
      <c r="N31" s="12" t="s">
        <v>22</v>
      </c>
      <c r="O31" s="12" t="s">
        <v>103</v>
      </c>
      <c r="P31" s="12" t="s">
        <v>24</v>
      </c>
      <c r="Q31" s="19" t="s">
        <v>104</v>
      </c>
      <c r="R31" s="12" t="s">
        <v>105</v>
      </c>
      <c r="S31" s="20" t="str">
        <f>IFERROR(__xludf.DUMMYFUNCTION("iferror(REGEXEXTRACT(Q31, ""https?://(?:www\.)?([^./]+\.[^./]+)""), CONCAT(""Supplier "",P31))
"),"justdoorsuk.com")</f>
        <v>justdoorsuk.com</v>
      </c>
      <c r="T31" s="12" t="str">
        <f>IFERROR(__xludf.DUMMYFUNCTION("if(iferror(REGEXEXTRACT(Q31, ""https?://(?:www\.)?([^./]+\.[^./]+)""), ""No"" )= ""No"", ""No"", ""Yes"")"),"Yes")</f>
        <v>Yes</v>
      </c>
    </row>
    <row r="32">
      <c r="A32" s="9"/>
      <c r="B32" s="12" t="s">
        <v>108</v>
      </c>
      <c r="C32" s="11" t="s">
        <v>108</v>
      </c>
      <c r="D32" s="12" t="s">
        <v>109</v>
      </c>
      <c r="E32" s="9"/>
      <c r="F32" s="12" t="s">
        <v>20</v>
      </c>
      <c r="G32" s="13">
        <v>482.5</v>
      </c>
      <c r="H32" s="14" t="s">
        <v>21</v>
      </c>
      <c r="I32" s="15" t="str">
        <f t="shared" si="1"/>
        <v/>
      </c>
      <c r="J32" s="16"/>
      <c r="K32" s="17" t="str">
        <f t="shared" si="2"/>
        <v/>
      </c>
      <c r="L32" s="18">
        <v>0.0</v>
      </c>
      <c r="M32" s="18">
        <v>0.0</v>
      </c>
      <c r="N32" s="12" t="s">
        <v>22</v>
      </c>
      <c r="O32" s="12" t="s">
        <v>103</v>
      </c>
      <c r="P32" s="12" t="s">
        <v>24</v>
      </c>
      <c r="Q32" s="19" t="s">
        <v>104</v>
      </c>
      <c r="R32" s="12" t="s">
        <v>105</v>
      </c>
      <c r="S32" s="20" t="str">
        <f>IFERROR(__xludf.DUMMYFUNCTION("iferror(REGEXEXTRACT(Q32, ""https?://(?:www\.)?([^./]+\.[^./]+)""), CONCAT(""Supplier "",P32))
"),"justdoorsuk.com")</f>
        <v>justdoorsuk.com</v>
      </c>
      <c r="T32" s="12" t="str">
        <f>IFERROR(__xludf.DUMMYFUNCTION("if(iferror(REGEXEXTRACT(Q32, ""https?://(?:www\.)?([^./]+\.[^./]+)""), ""No"" )= ""No"", ""No"", ""Yes"")"),"Yes")</f>
        <v>Yes</v>
      </c>
    </row>
    <row r="33">
      <c r="A33" s="9"/>
      <c r="B33" s="12" t="s">
        <v>110</v>
      </c>
      <c r="C33" s="11" t="s">
        <v>110</v>
      </c>
      <c r="D33" s="12" t="s">
        <v>111</v>
      </c>
      <c r="E33" s="9"/>
      <c r="F33" s="12" t="s">
        <v>20</v>
      </c>
      <c r="G33" s="13">
        <v>571.67</v>
      </c>
      <c r="H33" s="14" t="s">
        <v>21</v>
      </c>
      <c r="I33" s="15" t="str">
        <f t="shared" si="1"/>
        <v/>
      </c>
      <c r="J33" s="16"/>
      <c r="K33" s="17" t="str">
        <f t="shared" si="2"/>
        <v/>
      </c>
      <c r="L33" s="18">
        <v>0.0</v>
      </c>
      <c r="M33" s="18">
        <v>0.0</v>
      </c>
      <c r="N33" s="12" t="s">
        <v>22</v>
      </c>
      <c r="O33" s="12" t="s">
        <v>103</v>
      </c>
      <c r="P33" s="12" t="s">
        <v>24</v>
      </c>
      <c r="Q33" s="19" t="s">
        <v>104</v>
      </c>
      <c r="R33" s="12" t="s">
        <v>105</v>
      </c>
      <c r="S33" s="20" t="str">
        <f>IFERROR(__xludf.DUMMYFUNCTION("iferror(REGEXEXTRACT(Q33, ""https?://(?:www\.)?([^./]+\.[^./]+)""), CONCAT(""Supplier "",P33))
"),"justdoorsuk.com")</f>
        <v>justdoorsuk.com</v>
      </c>
      <c r="T33" s="12" t="str">
        <f>IFERROR(__xludf.DUMMYFUNCTION("if(iferror(REGEXEXTRACT(Q33, ""https?://(?:www\.)?([^./]+\.[^./]+)""), ""No"" )= ""No"", ""No"", ""Yes"")"),"Yes")</f>
        <v>Yes</v>
      </c>
    </row>
    <row r="34">
      <c r="A34" s="9"/>
      <c r="B34" s="12" t="s">
        <v>112</v>
      </c>
      <c r="C34" s="11" t="s">
        <v>112</v>
      </c>
      <c r="D34" s="12" t="s">
        <v>113</v>
      </c>
      <c r="E34" s="9"/>
      <c r="F34" s="12" t="s">
        <v>20</v>
      </c>
      <c r="G34" s="13">
        <v>514.16</v>
      </c>
      <c r="H34" s="14" t="s">
        <v>21</v>
      </c>
      <c r="I34" s="15" t="str">
        <f t="shared" si="1"/>
        <v/>
      </c>
      <c r="J34" s="16"/>
      <c r="K34" s="17" t="str">
        <f t="shared" si="2"/>
        <v/>
      </c>
      <c r="L34" s="18">
        <v>0.0</v>
      </c>
      <c r="M34" s="18">
        <v>0.0</v>
      </c>
      <c r="N34" s="12" t="s">
        <v>22</v>
      </c>
      <c r="O34" s="12" t="s">
        <v>114</v>
      </c>
      <c r="P34" s="12" t="s">
        <v>24</v>
      </c>
      <c r="Q34" s="19" t="s">
        <v>115</v>
      </c>
      <c r="R34" s="12" t="s">
        <v>116</v>
      </c>
      <c r="S34" s="20" t="str">
        <f>IFERROR(__xludf.DUMMYFUNCTION("iferror(REGEXEXTRACT(Q34, ""https?://(?:www\.)?([^./]+\.[^./]+)""), CONCAT(""Supplier "",P34))
"),"justdoorsuk.com")</f>
        <v>justdoorsuk.com</v>
      </c>
      <c r="T34" s="12" t="str">
        <f>IFERROR(__xludf.DUMMYFUNCTION("if(iferror(REGEXEXTRACT(Q34, ""https?://(?:www\.)?([^./]+\.[^./]+)""), ""No"" )= ""No"", ""No"", ""Yes"")"),"Yes")</f>
        <v>Yes</v>
      </c>
    </row>
    <row r="35">
      <c r="A35" s="9"/>
      <c r="B35" s="12" t="s">
        <v>117</v>
      </c>
      <c r="C35" s="11" t="s">
        <v>117</v>
      </c>
      <c r="D35" s="12" t="s">
        <v>118</v>
      </c>
      <c r="E35" s="9"/>
      <c r="F35" s="12" t="s">
        <v>20</v>
      </c>
      <c r="G35" s="13">
        <v>745.83</v>
      </c>
      <c r="H35" s="14" t="s">
        <v>21</v>
      </c>
      <c r="I35" s="15" t="str">
        <f t="shared" si="1"/>
        <v/>
      </c>
      <c r="J35" s="16"/>
      <c r="K35" s="17" t="str">
        <f t="shared" si="2"/>
        <v/>
      </c>
      <c r="L35" s="18">
        <v>0.0</v>
      </c>
      <c r="M35" s="18">
        <v>0.0</v>
      </c>
      <c r="N35" s="12" t="s">
        <v>22</v>
      </c>
      <c r="O35" s="12" t="s">
        <v>119</v>
      </c>
      <c r="P35" s="12" t="s">
        <v>24</v>
      </c>
      <c r="Q35" s="19" t="s">
        <v>120</v>
      </c>
      <c r="R35" s="12" t="s">
        <v>121</v>
      </c>
      <c r="S35" s="20" t="str">
        <f>IFERROR(__xludf.DUMMYFUNCTION("iferror(REGEXEXTRACT(Q35, ""https?://(?:www\.)?([^./]+\.[^./]+)""), CONCAT(""Supplier "",P35))
"),"justdoorsuk.com")</f>
        <v>justdoorsuk.com</v>
      </c>
      <c r="T35" s="12" t="str">
        <f>IFERROR(__xludf.DUMMYFUNCTION("if(iferror(REGEXEXTRACT(Q35, ""https?://(?:www\.)?([^./]+\.[^./]+)""), ""No"" )= ""No"", ""No"", ""Yes"")"),"Yes")</f>
        <v>Yes</v>
      </c>
    </row>
    <row r="36">
      <c r="A36" s="9"/>
      <c r="B36" s="12" t="s">
        <v>122</v>
      </c>
      <c r="C36" s="11" t="s">
        <v>122</v>
      </c>
      <c r="D36" s="12" t="s">
        <v>123</v>
      </c>
      <c r="E36" s="9"/>
      <c r="F36" s="12" t="s">
        <v>20</v>
      </c>
      <c r="G36" s="13">
        <v>569.67</v>
      </c>
      <c r="H36" s="14" t="s">
        <v>21</v>
      </c>
      <c r="I36" s="15" t="str">
        <f t="shared" si="1"/>
        <v/>
      </c>
      <c r="J36" s="16"/>
      <c r="K36" s="17" t="str">
        <f t="shared" si="2"/>
        <v/>
      </c>
      <c r="L36" s="18">
        <v>0.0</v>
      </c>
      <c r="M36" s="18">
        <v>0.0</v>
      </c>
      <c r="N36" s="12" t="s">
        <v>22</v>
      </c>
      <c r="O36" s="12" t="s">
        <v>119</v>
      </c>
      <c r="P36" s="12" t="s">
        <v>24</v>
      </c>
      <c r="Q36" s="19" t="s">
        <v>120</v>
      </c>
      <c r="R36" s="12" t="s">
        <v>121</v>
      </c>
      <c r="S36" s="20" t="str">
        <f>IFERROR(__xludf.DUMMYFUNCTION("iferror(REGEXEXTRACT(Q36, ""https?://(?:www\.)?([^./]+\.[^./]+)""), CONCAT(""Supplier "",P36))
"),"justdoorsuk.com")</f>
        <v>justdoorsuk.com</v>
      </c>
      <c r="T36" s="12" t="str">
        <f>IFERROR(__xludf.DUMMYFUNCTION("if(iferror(REGEXEXTRACT(Q36, ""https?://(?:www\.)?([^./]+\.[^./]+)""), ""No"" )= ""No"", ""No"", ""Yes"")"),"Yes")</f>
        <v>Yes</v>
      </c>
    </row>
    <row r="37">
      <c r="A37" s="9"/>
      <c r="B37" s="12" t="s">
        <v>124</v>
      </c>
      <c r="C37" s="11" t="s">
        <v>124</v>
      </c>
      <c r="D37" s="12" t="s">
        <v>125</v>
      </c>
      <c r="E37" s="9"/>
      <c r="F37" s="12" t="s">
        <v>20</v>
      </c>
      <c r="G37" s="13">
        <v>657.5</v>
      </c>
      <c r="H37" s="14" t="s">
        <v>21</v>
      </c>
      <c r="I37" s="15" t="str">
        <f t="shared" si="1"/>
        <v/>
      </c>
      <c r="J37" s="16"/>
      <c r="K37" s="17" t="str">
        <f t="shared" si="2"/>
        <v/>
      </c>
      <c r="L37" s="18">
        <v>0.0</v>
      </c>
      <c r="M37" s="18">
        <v>0.0</v>
      </c>
      <c r="N37" s="12" t="s">
        <v>22</v>
      </c>
      <c r="O37" s="12" t="s">
        <v>119</v>
      </c>
      <c r="P37" s="12" t="s">
        <v>24</v>
      </c>
      <c r="Q37" s="19" t="s">
        <v>120</v>
      </c>
      <c r="R37" s="12" t="s">
        <v>121</v>
      </c>
      <c r="S37" s="20" t="str">
        <f>IFERROR(__xludf.DUMMYFUNCTION("iferror(REGEXEXTRACT(Q37, ""https?://(?:www\.)?([^./]+\.[^./]+)""), CONCAT(""Supplier "",P37))
"),"justdoorsuk.com")</f>
        <v>justdoorsuk.com</v>
      </c>
      <c r="T37" s="12" t="str">
        <f>IFERROR(__xludf.DUMMYFUNCTION("if(iferror(REGEXEXTRACT(Q37, ""https?://(?:www\.)?([^./]+\.[^./]+)""), ""No"" )= ""No"", ""No"", ""Yes"")"),"Yes")</f>
        <v>Yes</v>
      </c>
    </row>
    <row r="38">
      <c r="A38" s="9"/>
      <c r="B38" s="12" t="s">
        <v>126</v>
      </c>
      <c r="C38" s="11" t="s">
        <v>126</v>
      </c>
      <c r="D38" s="12" t="s">
        <v>127</v>
      </c>
      <c r="E38" s="9"/>
      <c r="F38" s="12" t="s">
        <v>20</v>
      </c>
      <c r="G38" s="13">
        <v>672.5</v>
      </c>
      <c r="H38" s="14" t="s">
        <v>21</v>
      </c>
      <c r="I38" s="15" t="str">
        <f t="shared" si="1"/>
        <v/>
      </c>
      <c r="J38" s="16"/>
      <c r="K38" s="17" t="str">
        <f t="shared" si="2"/>
        <v/>
      </c>
      <c r="L38" s="18">
        <v>0.0</v>
      </c>
      <c r="M38" s="18">
        <v>0.0</v>
      </c>
      <c r="N38" s="12" t="s">
        <v>22</v>
      </c>
      <c r="O38" s="12" t="s">
        <v>119</v>
      </c>
      <c r="P38" s="12" t="s">
        <v>24</v>
      </c>
      <c r="Q38" s="19" t="s">
        <v>120</v>
      </c>
      <c r="R38" s="12" t="s">
        <v>121</v>
      </c>
      <c r="S38" s="20" t="str">
        <f>IFERROR(__xludf.DUMMYFUNCTION("iferror(REGEXEXTRACT(Q38, ""https?://(?:www\.)?([^./]+\.[^./]+)""), CONCAT(""Supplier "",P38))
"),"justdoorsuk.com")</f>
        <v>justdoorsuk.com</v>
      </c>
      <c r="T38" s="12" t="str">
        <f>IFERROR(__xludf.DUMMYFUNCTION("if(iferror(REGEXEXTRACT(Q38, ""https?://(?:www\.)?([^./]+\.[^./]+)""), ""No"" )= ""No"", ""No"", ""Yes"")"),"Yes")</f>
        <v>Yes</v>
      </c>
    </row>
    <row r="39">
      <c r="A39" s="9"/>
      <c r="B39" s="12" t="s">
        <v>128</v>
      </c>
      <c r="C39" s="11" t="s">
        <v>128</v>
      </c>
      <c r="D39" s="12" t="s">
        <v>129</v>
      </c>
      <c r="E39" s="9"/>
      <c r="F39" s="12" t="s">
        <v>20</v>
      </c>
      <c r="G39" s="13">
        <v>793.33</v>
      </c>
      <c r="H39" s="14" t="s">
        <v>21</v>
      </c>
      <c r="I39" s="15" t="str">
        <f t="shared" si="1"/>
        <v/>
      </c>
      <c r="J39" s="16"/>
      <c r="K39" s="17" t="str">
        <f t="shared" si="2"/>
        <v/>
      </c>
      <c r="L39" s="18">
        <v>0.0</v>
      </c>
      <c r="M39" s="18">
        <v>0.0</v>
      </c>
      <c r="N39" s="12" t="s">
        <v>22</v>
      </c>
      <c r="O39" s="12" t="s">
        <v>119</v>
      </c>
      <c r="P39" s="12" t="s">
        <v>24</v>
      </c>
      <c r="Q39" s="19" t="s">
        <v>120</v>
      </c>
      <c r="R39" s="12" t="s">
        <v>121</v>
      </c>
      <c r="S39" s="20" t="str">
        <f>IFERROR(__xludf.DUMMYFUNCTION("iferror(REGEXEXTRACT(Q39, ""https?://(?:www\.)?([^./]+\.[^./]+)""), CONCAT(""Supplier "",P39))
"),"justdoorsuk.com")</f>
        <v>justdoorsuk.com</v>
      </c>
      <c r="T39" s="12" t="str">
        <f>IFERROR(__xludf.DUMMYFUNCTION("if(iferror(REGEXEXTRACT(Q39, ""https?://(?:www\.)?([^./]+\.[^./]+)""), ""No"" )= ""No"", ""No"", ""Yes"")"),"Yes")</f>
        <v>Yes</v>
      </c>
    </row>
    <row r="40">
      <c r="A40" s="9"/>
      <c r="B40" s="12" t="s">
        <v>130</v>
      </c>
      <c r="C40" s="11" t="s">
        <v>130</v>
      </c>
      <c r="D40" s="12" t="s">
        <v>131</v>
      </c>
      <c r="E40" s="9"/>
      <c r="F40" s="12" t="s">
        <v>20</v>
      </c>
      <c r="G40" s="13">
        <v>619.17</v>
      </c>
      <c r="H40" s="14" t="s">
        <v>21</v>
      </c>
      <c r="I40" s="15" t="str">
        <f t="shared" si="1"/>
        <v/>
      </c>
      <c r="J40" s="16"/>
      <c r="K40" s="17" t="str">
        <f t="shared" si="2"/>
        <v/>
      </c>
      <c r="L40" s="18">
        <v>0.0</v>
      </c>
      <c r="M40" s="18">
        <v>0.0</v>
      </c>
      <c r="N40" s="12" t="s">
        <v>22</v>
      </c>
      <c r="O40" s="12" t="s">
        <v>132</v>
      </c>
      <c r="P40" s="12" t="s">
        <v>24</v>
      </c>
      <c r="Q40" s="19" t="s">
        <v>133</v>
      </c>
      <c r="R40" s="12" t="s">
        <v>134</v>
      </c>
      <c r="S40" s="20" t="str">
        <f>IFERROR(__xludf.DUMMYFUNCTION("iferror(REGEXEXTRACT(Q40, ""https?://(?:www\.)?([^./]+\.[^./]+)""), CONCAT(""Supplier "",P40))
"),"justdoorsuk.com")</f>
        <v>justdoorsuk.com</v>
      </c>
      <c r="T40" s="12" t="str">
        <f>IFERROR(__xludf.DUMMYFUNCTION("if(iferror(REGEXEXTRACT(Q40, ""https?://(?:www\.)?([^./]+\.[^./]+)""), ""No"" )= ""No"", ""No"", ""Yes"")"),"Yes")</f>
        <v>Yes</v>
      </c>
    </row>
    <row r="41">
      <c r="A41" s="9"/>
      <c r="B41" s="12" t="s">
        <v>135</v>
      </c>
      <c r="C41" s="11" t="s">
        <v>135</v>
      </c>
      <c r="D41" s="12" t="s">
        <v>136</v>
      </c>
      <c r="E41" s="9"/>
      <c r="F41" s="12" t="s">
        <v>20</v>
      </c>
      <c r="G41" s="13">
        <v>706.67</v>
      </c>
      <c r="H41" s="14" t="s">
        <v>21</v>
      </c>
      <c r="I41" s="15" t="str">
        <f t="shared" si="1"/>
        <v/>
      </c>
      <c r="J41" s="16"/>
      <c r="K41" s="17" t="str">
        <f t="shared" si="2"/>
        <v/>
      </c>
      <c r="L41" s="18">
        <v>0.0</v>
      </c>
      <c r="M41" s="18">
        <v>0.0</v>
      </c>
      <c r="N41" s="12" t="s">
        <v>22</v>
      </c>
      <c r="O41" s="12" t="s">
        <v>132</v>
      </c>
      <c r="P41" s="12" t="s">
        <v>24</v>
      </c>
      <c r="Q41" s="19" t="s">
        <v>133</v>
      </c>
      <c r="R41" s="12" t="s">
        <v>134</v>
      </c>
      <c r="S41" s="20" t="str">
        <f>IFERROR(__xludf.DUMMYFUNCTION("iferror(REGEXEXTRACT(Q41, ""https?://(?:www\.)?([^./]+\.[^./]+)""), CONCAT(""Supplier "",P41))
"),"justdoorsuk.com")</f>
        <v>justdoorsuk.com</v>
      </c>
      <c r="T41" s="12" t="str">
        <f>IFERROR(__xludf.DUMMYFUNCTION("if(iferror(REGEXEXTRACT(Q41, ""https?://(?:www\.)?([^./]+\.[^./]+)""), ""No"" )= ""No"", ""No"", ""Yes"")"),"Yes")</f>
        <v>Yes</v>
      </c>
    </row>
    <row r="42">
      <c r="A42" s="9"/>
      <c r="B42" s="12" t="s">
        <v>137</v>
      </c>
      <c r="C42" s="11" t="s">
        <v>137</v>
      </c>
      <c r="D42" s="12" t="s">
        <v>138</v>
      </c>
      <c r="E42" s="9"/>
      <c r="F42" s="12" t="s">
        <v>20</v>
      </c>
      <c r="G42" s="13">
        <v>795.0</v>
      </c>
      <c r="H42" s="14" t="s">
        <v>21</v>
      </c>
      <c r="I42" s="15" t="str">
        <f t="shared" si="1"/>
        <v/>
      </c>
      <c r="J42" s="16"/>
      <c r="K42" s="17" t="str">
        <f t="shared" si="2"/>
        <v/>
      </c>
      <c r="L42" s="18">
        <v>0.0</v>
      </c>
      <c r="M42" s="18">
        <v>0.0</v>
      </c>
      <c r="N42" s="12" t="s">
        <v>22</v>
      </c>
      <c r="O42" s="12" t="s">
        <v>132</v>
      </c>
      <c r="P42" s="12" t="s">
        <v>24</v>
      </c>
      <c r="Q42" s="19" t="s">
        <v>133</v>
      </c>
      <c r="R42" s="12" t="s">
        <v>134</v>
      </c>
      <c r="S42" s="20" t="str">
        <f>IFERROR(__xludf.DUMMYFUNCTION("iferror(REGEXEXTRACT(Q42, ""https?://(?:www\.)?([^./]+\.[^./]+)""), CONCAT(""Supplier "",P42))
"),"justdoorsuk.com")</f>
        <v>justdoorsuk.com</v>
      </c>
      <c r="T42" s="12" t="str">
        <f>IFERROR(__xludf.DUMMYFUNCTION("if(iferror(REGEXEXTRACT(Q42, ""https?://(?:www\.)?([^./]+\.[^./]+)""), ""No"" )= ""No"", ""No"", ""Yes"")"),"Yes")</f>
        <v>Yes</v>
      </c>
    </row>
    <row r="43">
      <c r="A43" s="9"/>
      <c r="B43" s="12" t="s">
        <v>139</v>
      </c>
      <c r="C43" s="11" t="s">
        <v>139</v>
      </c>
      <c r="D43" s="10" t="s">
        <v>140</v>
      </c>
      <c r="E43" s="9"/>
      <c r="F43" s="12" t="s">
        <v>20</v>
      </c>
      <c r="G43" s="13">
        <v>771.67</v>
      </c>
      <c r="H43" s="14" t="s">
        <v>21</v>
      </c>
      <c r="I43" s="15" t="str">
        <f t="shared" si="1"/>
        <v/>
      </c>
      <c r="J43" s="16"/>
      <c r="K43" s="17" t="str">
        <f t="shared" si="2"/>
        <v/>
      </c>
      <c r="L43" s="18">
        <v>0.0</v>
      </c>
      <c r="M43" s="18">
        <v>0.0</v>
      </c>
      <c r="N43" s="12" t="s">
        <v>22</v>
      </c>
      <c r="O43" s="12" t="s">
        <v>132</v>
      </c>
      <c r="P43" s="12" t="s">
        <v>24</v>
      </c>
      <c r="Q43" s="19" t="s">
        <v>133</v>
      </c>
      <c r="R43" s="12" t="s">
        <v>134</v>
      </c>
      <c r="S43" s="20" t="str">
        <f>IFERROR(__xludf.DUMMYFUNCTION("iferror(REGEXEXTRACT(Q43, ""https?://(?:www\.)?([^./]+\.[^./]+)""), CONCAT(""Supplier "",P43))
"),"justdoorsuk.com")</f>
        <v>justdoorsuk.com</v>
      </c>
      <c r="T43" s="12" t="str">
        <f>IFERROR(__xludf.DUMMYFUNCTION("if(iferror(REGEXEXTRACT(Q43, ""https?://(?:www\.)?([^./]+\.[^./]+)""), ""No"" )= ""No"", ""No"", ""Yes"")"),"Yes")</f>
        <v>Yes</v>
      </c>
    </row>
    <row r="44">
      <c r="A44" s="9"/>
      <c r="B44" s="12" t="s">
        <v>141</v>
      </c>
      <c r="C44" s="11" t="s">
        <v>141</v>
      </c>
      <c r="D44" s="12" t="s">
        <v>142</v>
      </c>
      <c r="E44" s="9"/>
      <c r="F44" s="12" t="s">
        <v>20</v>
      </c>
      <c r="G44" s="13">
        <v>821.67</v>
      </c>
      <c r="H44" s="14" t="s">
        <v>21</v>
      </c>
      <c r="I44" s="15" t="str">
        <f t="shared" si="1"/>
        <v/>
      </c>
      <c r="J44" s="16"/>
      <c r="K44" s="17" t="str">
        <f t="shared" si="2"/>
        <v/>
      </c>
      <c r="L44" s="18">
        <v>0.0</v>
      </c>
      <c r="M44" s="18">
        <v>0.0</v>
      </c>
      <c r="N44" s="12" t="s">
        <v>22</v>
      </c>
      <c r="O44" s="12" t="s">
        <v>132</v>
      </c>
      <c r="P44" s="12" t="s">
        <v>24</v>
      </c>
      <c r="Q44" s="19" t="s">
        <v>133</v>
      </c>
      <c r="R44" s="12" t="s">
        <v>134</v>
      </c>
      <c r="S44" s="20" t="str">
        <f>IFERROR(__xludf.DUMMYFUNCTION("iferror(REGEXEXTRACT(Q44, ""https?://(?:www\.)?([^./]+\.[^./]+)""), CONCAT(""Supplier "",P44))
"),"justdoorsuk.com")</f>
        <v>justdoorsuk.com</v>
      </c>
      <c r="T44" s="12" t="str">
        <f>IFERROR(__xludf.DUMMYFUNCTION("if(iferror(REGEXEXTRACT(Q44, ""https?://(?:www\.)?([^./]+\.[^./]+)""), ""No"" )= ""No"", ""No"", ""Yes"")"),"Yes")</f>
        <v>Yes</v>
      </c>
    </row>
    <row r="45">
      <c r="A45" s="9"/>
      <c r="B45" s="12" t="s">
        <v>143</v>
      </c>
      <c r="C45" s="11" t="s">
        <v>143</v>
      </c>
      <c r="D45" s="12" t="s">
        <v>144</v>
      </c>
      <c r="E45" s="9"/>
      <c r="F45" s="12" t="s">
        <v>20</v>
      </c>
      <c r="G45" s="13">
        <v>939.17</v>
      </c>
      <c r="H45" s="14" t="s">
        <v>21</v>
      </c>
      <c r="I45" s="15" t="str">
        <f t="shared" si="1"/>
        <v/>
      </c>
      <c r="J45" s="16"/>
      <c r="K45" s="17" t="str">
        <f t="shared" si="2"/>
        <v/>
      </c>
      <c r="L45" s="18">
        <v>0.0</v>
      </c>
      <c r="M45" s="18">
        <v>0.0</v>
      </c>
      <c r="N45" s="12" t="s">
        <v>22</v>
      </c>
      <c r="O45" s="12" t="s">
        <v>132</v>
      </c>
      <c r="P45" s="12" t="s">
        <v>24</v>
      </c>
      <c r="Q45" s="19" t="s">
        <v>133</v>
      </c>
      <c r="R45" s="12" t="s">
        <v>134</v>
      </c>
      <c r="S45" s="20" t="str">
        <f>IFERROR(__xludf.DUMMYFUNCTION("iferror(REGEXEXTRACT(Q45, ""https?://(?:www\.)?([^./]+\.[^./]+)""), CONCAT(""Supplier "",P45))
"),"justdoorsuk.com")</f>
        <v>justdoorsuk.com</v>
      </c>
      <c r="T45" s="12" t="str">
        <f>IFERROR(__xludf.DUMMYFUNCTION("if(iferror(REGEXEXTRACT(Q45, ""https?://(?:www\.)?([^./]+\.[^./]+)""), ""No"" )= ""No"", ""No"", ""Yes"")"),"Yes")</f>
        <v>Yes</v>
      </c>
    </row>
    <row r="46">
      <c r="A46" s="9"/>
      <c r="B46" s="12" t="s">
        <v>145</v>
      </c>
      <c r="C46" s="11" t="s">
        <v>145</v>
      </c>
      <c r="D46" s="12" t="s">
        <v>146</v>
      </c>
      <c r="E46" s="9"/>
      <c r="F46" s="12" t="s">
        <v>147</v>
      </c>
      <c r="G46" s="13">
        <v>139.17</v>
      </c>
      <c r="H46" s="14" t="s">
        <v>21</v>
      </c>
      <c r="I46" s="15" t="str">
        <f t="shared" si="1"/>
        <v/>
      </c>
      <c r="J46" s="16"/>
      <c r="K46" s="17" t="str">
        <f t="shared" si="2"/>
        <v/>
      </c>
      <c r="L46" s="18">
        <v>0.0</v>
      </c>
      <c r="M46" s="18">
        <v>0.0</v>
      </c>
      <c r="N46" s="12" t="s">
        <v>22</v>
      </c>
      <c r="O46" s="12" t="s">
        <v>148</v>
      </c>
      <c r="P46" s="12" t="s">
        <v>149</v>
      </c>
      <c r="Q46" s="19" t="s">
        <v>25</v>
      </c>
      <c r="R46" s="12" t="s">
        <v>150</v>
      </c>
      <c r="S46" s="20" t="str">
        <f>IFERROR(__xludf.DUMMYFUNCTION("iferror(REGEXEXTRACT(Q46, ""https?://(?:www\.)?([^./]+\.[^./]+)""), CONCAT(""Supplier "",P46))
"),"justdoorsuk.com")</f>
        <v>justdoorsuk.com</v>
      </c>
      <c r="T46" s="12" t="str">
        <f>IFERROR(__xludf.DUMMYFUNCTION("if(iferror(REGEXEXTRACT(Q46, ""https?://(?:www\.)?([^./]+\.[^./]+)""), ""No"" )= ""No"", ""No"", ""Yes"")"),"Yes")</f>
        <v>Yes</v>
      </c>
    </row>
    <row r="47">
      <c r="A47" s="9"/>
      <c r="B47" s="12" t="s">
        <v>151</v>
      </c>
      <c r="C47" s="11" t="s">
        <v>151</v>
      </c>
      <c r="D47" s="10" t="s">
        <v>152</v>
      </c>
      <c r="E47" s="9"/>
      <c r="F47" s="12" t="s">
        <v>147</v>
      </c>
      <c r="G47" s="13">
        <v>160.83</v>
      </c>
      <c r="H47" s="14" t="s">
        <v>21</v>
      </c>
      <c r="I47" s="13">
        <v>160.83</v>
      </c>
      <c r="J47" s="16"/>
      <c r="K47" s="21">
        <f t="shared" si="2"/>
        <v>0</v>
      </c>
      <c r="L47" s="18">
        <v>0.0</v>
      </c>
      <c r="M47" s="18">
        <v>0.0</v>
      </c>
      <c r="N47" s="12" t="s">
        <v>22</v>
      </c>
      <c r="O47" s="12" t="s">
        <v>153</v>
      </c>
      <c r="P47" s="12" t="s">
        <v>154</v>
      </c>
      <c r="Q47" s="19" t="s">
        <v>25</v>
      </c>
      <c r="R47" s="12" t="s">
        <v>155</v>
      </c>
      <c r="S47" s="20" t="str">
        <f>IFERROR(__xludf.DUMMYFUNCTION("iferror(REGEXEXTRACT(Q47, ""https?://(?:www\.)?([^./]+\.[^./]+)""), CONCAT(""Supplier "",P47))
"),"justdoorsuk.com")</f>
        <v>justdoorsuk.com</v>
      </c>
      <c r="T47" s="12" t="str">
        <f>IFERROR(__xludf.DUMMYFUNCTION("if(iferror(REGEXEXTRACT(Q47, ""https?://(?:www\.)?([^./]+\.[^./]+)""), ""No"" )= ""No"", ""No"", ""Yes"")"),"Yes")</f>
        <v>Yes</v>
      </c>
    </row>
    <row r="48">
      <c r="A48" s="9"/>
      <c r="B48" s="12" t="s">
        <v>156</v>
      </c>
      <c r="C48" s="11" t="s">
        <v>156</v>
      </c>
      <c r="D48" s="10" t="s">
        <v>157</v>
      </c>
      <c r="E48" s="9"/>
      <c r="F48" s="12" t="s">
        <v>147</v>
      </c>
      <c r="G48" s="13">
        <v>173.33</v>
      </c>
      <c r="H48" s="14" t="s">
        <v>21</v>
      </c>
      <c r="I48" s="13">
        <v>173.33</v>
      </c>
      <c r="J48" s="16"/>
      <c r="K48" s="21">
        <f t="shared" si="2"/>
        <v>0</v>
      </c>
      <c r="L48" s="18">
        <v>0.0</v>
      </c>
      <c r="M48" s="18">
        <v>0.0</v>
      </c>
      <c r="N48" s="12" t="s">
        <v>22</v>
      </c>
      <c r="O48" s="12" t="s">
        <v>153</v>
      </c>
      <c r="P48" s="12" t="s">
        <v>154</v>
      </c>
      <c r="Q48" s="19" t="s">
        <v>25</v>
      </c>
      <c r="R48" s="12" t="s">
        <v>158</v>
      </c>
      <c r="S48" s="20" t="str">
        <f>IFERROR(__xludf.DUMMYFUNCTION("iferror(REGEXEXTRACT(Q48, ""https?://(?:www\.)?([^./]+\.[^./]+)""), CONCAT(""Supplier "",P48))
"),"justdoorsuk.com")</f>
        <v>justdoorsuk.com</v>
      </c>
      <c r="T48" s="12" t="str">
        <f>IFERROR(__xludf.DUMMYFUNCTION("if(iferror(REGEXEXTRACT(Q48, ""https?://(?:www\.)?([^./]+\.[^./]+)""), ""No"" )= ""No"", ""No"", ""Yes"")"),"Yes")</f>
        <v>Yes</v>
      </c>
    </row>
    <row r="49">
      <c r="A49" s="9"/>
      <c r="B49" s="12" t="s">
        <v>159</v>
      </c>
      <c r="C49" s="11" t="s">
        <v>159</v>
      </c>
      <c r="D49" s="12" t="s">
        <v>160</v>
      </c>
      <c r="E49" s="9"/>
      <c r="F49" s="12" t="s">
        <v>147</v>
      </c>
      <c r="G49" s="13">
        <v>173.33</v>
      </c>
      <c r="H49" s="14" t="s">
        <v>21</v>
      </c>
      <c r="I49" s="15" t="str">
        <f t="shared" ref="I49:I51" si="3">IF(J49="","",J49/1.2)</f>
        <v/>
      </c>
      <c r="J49" s="16"/>
      <c r="K49" s="17" t="str">
        <f t="shared" si="2"/>
        <v/>
      </c>
      <c r="L49" s="18">
        <v>0.0</v>
      </c>
      <c r="M49" s="18">
        <v>0.0</v>
      </c>
      <c r="N49" s="12" t="s">
        <v>22</v>
      </c>
      <c r="O49" s="12" t="s">
        <v>148</v>
      </c>
      <c r="P49" s="12" t="s">
        <v>149</v>
      </c>
      <c r="Q49" s="19" t="s">
        <v>25</v>
      </c>
      <c r="R49" s="12" t="s">
        <v>161</v>
      </c>
      <c r="S49" s="20" t="str">
        <f>IFERROR(__xludf.DUMMYFUNCTION("iferror(REGEXEXTRACT(Q49, ""https?://(?:www\.)?([^./]+\.[^./]+)""), CONCAT(""Supplier "",P49))
"),"justdoorsuk.com")</f>
        <v>justdoorsuk.com</v>
      </c>
      <c r="T49" s="12" t="str">
        <f>IFERROR(__xludf.DUMMYFUNCTION("if(iferror(REGEXEXTRACT(Q49, ""https?://(?:www\.)?([^./]+\.[^./]+)""), ""No"" )= ""No"", ""No"", ""Yes"")"),"Yes")</f>
        <v>Yes</v>
      </c>
    </row>
    <row r="50">
      <c r="A50" s="9"/>
      <c r="B50" s="12" t="s">
        <v>162</v>
      </c>
      <c r="C50" s="11" t="s">
        <v>162</v>
      </c>
      <c r="D50" s="12" t="s">
        <v>163</v>
      </c>
      <c r="E50" s="9"/>
      <c r="F50" s="12" t="s">
        <v>147</v>
      </c>
      <c r="G50" s="13">
        <v>169.17</v>
      </c>
      <c r="H50" s="14" t="s">
        <v>21</v>
      </c>
      <c r="I50" s="15" t="str">
        <f t="shared" si="3"/>
        <v/>
      </c>
      <c r="J50" s="16"/>
      <c r="K50" s="17" t="str">
        <f t="shared" si="2"/>
        <v/>
      </c>
      <c r="L50" s="18">
        <v>0.0</v>
      </c>
      <c r="M50" s="18">
        <v>0.0</v>
      </c>
      <c r="N50" s="12" t="s">
        <v>22</v>
      </c>
      <c r="O50" s="12" t="s">
        <v>148</v>
      </c>
      <c r="P50" s="12" t="s">
        <v>149</v>
      </c>
      <c r="Q50" s="19" t="s">
        <v>25</v>
      </c>
      <c r="R50" s="12" t="s">
        <v>164</v>
      </c>
      <c r="S50" s="20" t="str">
        <f>IFERROR(__xludf.DUMMYFUNCTION("iferror(REGEXEXTRACT(Q50, ""https?://(?:www\.)?([^./]+\.[^./]+)""), CONCAT(""Supplier "",P50))
"),"justdoorsuk.com")</f>
        <v>justdoorsuk.com</v>
      </c>
      <c r="T50" s="12" t="str">
        <f>IFERROR(__xludf.DUMMYFUNCTION("if(iferror(REGEXEXTRACT(Q50, ""https?://(?:www\.)?([^./]+\.[^./]+)""), ""No"" )= ""No"", ""No"", ""Yes"")"),"Yes")</f>
        <v>Yes</v>
      </c>
    </row>
    <row r="51">
      <c r="A51" s="9"/>
      <c r="B51" s="12" t="s">
        <v>165</v>
      </c>
      <c r="C51" s="11" t="s">
        <v>165</v>
      </c>
      <c r="D51" s="12" t="s">
        <v>166</v>
      </c>
      <c r="E51" s="9"/>
      <c r="F51" s="12" t="s">
        <v>147</v>
      </c>
      <c r="G51" s="13">
        <v>191.67</v>
      </c>
      <c r="H51" s="14" t="s">
        <v>21</v>
      </c>
      <c r="I51" s="15" t="str">
        <f t="shared" si="3"/>
        <v/>
      </c>
      <c r="J51" s="16"/>
      <c r="K51" s="17" t="str">
        <f t="shared" si="2"/>
        <v/>
      </c>
      <c r="L51" s="18">
        <v>0.0</v>
      </c>
      <c r="M51" s="18">
        <v>0.0</v>
      </c>
      <c r="N51" s="12" t="s">
        <v>22</v>
      </c>
      <c r="O51" s="12" t="s">
        <v>148</v>
      </c>
      <c r="P51" s="12" t="s">
        <v>149</v>
      </c>
      <c r="Q51" s="19" t="s">
        <v>25</v>
      </c>
      <c r="R51" s="10" t="s">
        <v>167</v>
      </c>
      <c r="S51" s="20" t="str">
        <f>IFERROR(__xludf.DUMMYFUNCTION("iferror(REGEXEXTRACT(Q51, ""https?://(?:www\.)?([^./]+\.[^./]+)""), CONCAT(""Supplier "",P51))
"),"justdoorsuk.com")</f>
        <v>justdoorsuk.com</v>
      </c>
      <c r="T51" s="12" t="str">
        <f>IFERROR(__xludf.DUMMYFUNCTION("if(iferror(REGEXEXTRACT(Q51, ""https?://(?:www\.)?([^./]+\.[^./]+)""), ""No"" )= ""No"", ""No"", ""Yes"")"),"Yes")</f>
        <v>Yes</v>
      </c>
    </row>
    <row r="52">
      <c r="A52" s="9"/>
      <c r="B52" s="12" t="s">
        <v>168</v>
      </c>
      <c r="C52" s="11" t="s">
        <v>168</v>
      </c>
      <c r="D52" s="12" t="s">
        <v>169</v>
      </c>
      <c r="E52" s="9"/>
      <c r="F52" s="12" t="s">
        <v>147</v>
      </c>
      <c r="G52" s="13">
        <v>204.29</v>
      </c>
      <c r="H52" s="14" t="s">
        <v>21</v>
      </c>
      <c r="I52" s="13">
        <v>204.29</v>
      </c>
      <c r="J52" s="16"/>
      <c r="K52" s="21">
        <f t="shared" si="2"/>
        <v>0</v>
      </c>
      <c r="L52" s="18">
        <v>0.0</v>
      </c>
      <c r="M52" s="18">
        <v>0.0</v>
      </c>
      <c r="N52" s="12" t="s">
        <v>22</v>
      </c>
      <c r="O52" s="12" t="s">
        <v>153</v>
      </c>
      <c r="P52" s="12" t="s">
        <v>154</v>
      </c>
      <c r="Q52" s="19" t="s">
        <v>25</v>
      </c>
      <c r="R52" s="12" t="s">
        <v>170</v>
      </c>
      <c r="S52" s="20" t="str">
        <f>IFERROR(__xludf.DUMMYFUNCTION("iferror(REGEXEXTRACT(Q52, ""https?://(?:www\.)?([^./]+\.[^./]+)""), CONCAT(""Supplier "",P52))
"),"justdoorsuk.com")</f>
        <v>justdoorsuk.com</v>
      </c>
      <c r="T52" s="12" t="str">
        <f>IFERROR(__xludf.DUMMYFUNCTION("if(iferror(REGEXEXTRACT(Q52, ""https?://(?:www\.)?([^./]+\.[^./]+)""), ""No"" )= ""No"", ""No"", ""Yes"")"),"Yes")</f>
        <v>Yes</v>
      </c>
    </row>
    <row r="53">
      <c r="A53" s="9"/>
      <c r="B53" s="12" t="s">
        <v>171</v>
      </c>
      <c r="C53" s="11" t="s">
        <v>171</v>
      </c>
      <c r="D53" s="12" t="s">
        <v>172</v>
      </c>
      <c r="E53" s="9"/>
      <c r="F53" s="12" t="s">
        <v>147</v>
      </c>
      <c r="G53" s="13">
        <v>234.17</v>
      </c>
      <c r="H53" s="14" t="s">
        <v>21</v>
      </c>
      <c r="I53" s="15" t="str">
        <f t="shared" ref="I53:I71" si="4">IF(J53="","",J53/1.2)</f>
        <v/>
      </c>
      <c r="J53" s="16"/>
      <c r="K53" s="17" t="str">
        <f t="shared" si="2"/>
        <v/>
      </c>
      <c r="L53" s="18">
        <v>0.0</v>
      </c>
      <c r="M53" s="18">
        <v>0.0</v>
      </c>
      <c r="N53" s="12" t="s">
        <v>22</v>
      </c>
      <c r="O53" s="12" t="s">
        <v>148</v>
      </c>
      <c r="P53" s="12" t="s">
        <v>149</v>
      </c>
      <c r="Q53" s="19" t="s">
        <v>25</v>
      </c>
      <c r="R53" s="12" t="s">
        <v>173</v>
      </c>
      <c r="S53" s="20" t="str">
        <f>IFERROR(__xludf.DUMMYFUNCTION("iferror(REGEXEXTRACT(Q53, ""https?://(?:www\.)?([^./]+\.[^./]+)""), CONCAT(""Supplier "",P53))
"),"justdoorsuk.com")</f>
        <v>justdoorsuk.com</v>
      </c>
      <c r="T53" s="12" t="str">
        <f>IFERROR(__xludf.DUMMYFUNCTION("if(iferror(REGEXEXTRACT(Q53, ""https?://(?:www\.)?([^./]+\.[^./]+)""), ""No"" )= ""No"", ""No"", ""Yes"")"),"Yes")</f>
        <v>Yes</v>
      </c>
    </row>
    <row r="54">
      <c r="A54" s="9"/>
      <c r="B54" s="12" t="s">
        <v>174</v>
      </c>
      <c r="C54" s="11" t="s">
        <v>174</v>
      </c>
      <c r="D54" s="12" t="s">
        <v>175</v>
      </c>
      <c r="E54" s="9"/>
      <c r="F54" s="12" t="s">
        <v>147</v>
      </c>
      <c r="G54" s="13">
        <v>163.33</v>
      </c>
      <c r="H54" s="14" t="s">
        <v>21</v>
      </c>
      <c r="I54" s="15" t="str">
        <f t="shared" si="4"/>
        <v/>
      </c>
      <c r="J54" s="16"/>
      <c r="K54" s="17" t="str">
        <f t="shared" si="2"/>
        <v/>
      </c>
      <c r="L54" s="18">
        <v>0.0</v>
      </c>
      <c r="M54" s="18">
        <v>0.0</v>
      </c>
      <c r="N54" s="12" t="s">
        <v>22</v>
      </c>
      <c r="O54" s="12" t="s">
        <v>176</v>
      </c>
      <c r="P54" s="12" t="s">
        <v>149</v>
      </c>
      <c r="Q54" s="19" t="s">
        <v>46</v>
      </c>
      <c r="R54" s="12" t="s">
        <v>177</v>
      </c>
      <c r="S54" s="20" t="str">
        <f>IFERROR(__xludf.DUMMYFUNCTION("iferror(REGEXEXTRACT(Q54, ""https?://(?:www\.)?([^./]+\.[^./]+)""), CONCAT(""Supplier "",P54))
"),"justdoorsuk.com")</f>
        <v>justdoorsuk.com</v>
      </c>
      <c r="T54" s="12" t="str">
        <f>IFERROR(__xludf.DUMMYFUNCTION("if(iferror(REGEXEXTRACT(Q54, ""https?://(?:www\.)?([^./]+\.[^./]+)""), ""No"" )= ""No"", ""No"", ""Yes"")"),"Yes")</f>
        <v>Yes</v>
      </c>
    </row>
    <row r="55">
      <c r="A55" s="9"/>
      <c r="B55" s="12" t="s">
        <v>178</v>
      </c>
      <c r="C55" s="11" t="s">
        <v>178</v>
      </c>
      <c r="D55" s="12" t="s">
        <v>179</v>
      </c>
      <c r="E55" s="9"/>
      <c r="F55" s="12" t="s">
        <v>147</v>
      </c>
      <c r="G55" s="13">
        <v>172.5</v>
      </c>
      <c r="H55" s="14" t="s">
        <v>21</v>
      </c>
      <c r="I55" s="15" t="str">
        <f t="shared" si="4"/>
        <v/>
      </c>
      <c r="J55" s="16"/>
      <c r="K55" s="17" t="str">
        <f t="shared" si="2"/>
        <v/>
      </c>
      <c r="L55" s="18">
        <v>0.0</v>
      </c>
      <c r="M55" s="18">
        <v>0.0</v>
      </c>
      <c r="N55" s="12" t="s">
        <v>22</v>
      </c>
      <c r="O55" s="12" t="s">
        <v>176</v>
      </c>
      <c r="P55" s="12" t="s">
        <v>149</v>
      </c>
      <c r="Q55" s="19" t="s">
        <v>46</v>
      </c>
      <c r="R55" s="12" t="s">
        <v>180</v>
      </c>
      <c r="S55" s="20" t="str">
        <f>IFERROR(__xludf.DUMMYFUNCTION("iferror(REGEXEXTRACT(Q55, ""https?://(?:www\.)?([^./]+\.[^./]+)""), CONCAT(""Supplier "",P55))
"),"justdoorsuk.com")</f>
        <v>justdoorsuk.com</v>
      </c>
      <c r="T55" s="12" t="str">
        <f>IFERROR(__xludf.DUMMYFUNCTION("if(iferror(REGEXEXTRACT(Q55, ""https?://(?:www\.)?([^./]+\.[^./]+)""), ""No"" )= ""No"", ""No"", ""Yes"")"),"Yes")</f>
        <v>Yes</v>
      </c>
    </row>
    <row r="56">
      <c r="A56" s="9"/>
      <c r="B56" s="12" t="s">
        <v>181</v>
      </c>
      <c r="C56" s="11" t="s">
        <v>181</v>
      </c>
      <c r="D56" s="12" t="s">
        <v>182</v>
      </c>
      <c r="E56" s="9"/>
      <c r="F56" s="12" t="s">
        <v>147</v>
      </c>
      <c r="G56" s="13">
        <v>167.5</v>
      </c>
      <c r="H56" s="14" t="s">
        <v>21</v>
      </c>
      <c r="I56" s="15" t="str">
        <f t="shared" si="4"/>
        <v/>
      </c>
      <c r="J56" s="16"/>
      <c r="K56" s="17" t="str">
        <f t="shared" si="2"/>
        <v/>
      </c>
      <c r="L56" s="18">
        <v>0.0</v>
      </c>
      <c r="M56" s="18">
        <v>0.0</v>
      </c>
      <c r="N56" s="12" t="s">
        <v>22</v>
      </c>
      <c r="O56" s="12" t="s">
        <v>183</v>
      </c>
      <c r="P56" s="12" t="s">
        <v>149</v>
      </c>
      <c r="Q56" s="19" t="s">
        <v>53</v>
      </c>
      <c r="R56" s="12" t="s">
        <v>184</v>
      </c>
      <c r="S56" s="20" t="str">
        <f>IFERROR(__xludf.DUMMYFUNCTION("iferror(REGEXEXTRACT(Q56, ""https?://(?:www\.)?([^./]+\.[^./]+)""), CONCAT(""Supplier "",P56))
"),"justdoorsuk.com")</f>
        <v>justdoorsuk.com</v>
      </c>
      <c r="T56" s="12" t="str">
        <f>IFERROR(__xludf.DUMMYFUNCTION("if(iferror(REGEXEXTRACT(Q56, ""https?://(?:www\.)?([^./]+\.[^./]+)""), ""No"" )= ""No"", ""No"", ""Yes"")"),"Yes")</f>
        <v>Yes</v>
      </c>
    </row>
    <row r="57">
      <c r="A57" s="9"/>
      <c r="B57" s="12" t="s">
        <v>185</v>
      </c>
      <c r="C57" s="11" t="s">
        <v>185</v>
      </c>
      <c r="D57" s="12" t="s">
        <v>186</v>
      </c>
      <c r="E57" s="9"/>
      <c r="F57" s="12" t="s">
        <v>147</v>
      </c>
      <c r="G57" s="13">
        <v>179.17</v>
      </c>
      <c r="H57" s="14" t="s">
        <v>21</v>
      </c>
      <c r="I57" s="15" t="str">
        <f t="shared" si="4"/>
        <v/>
      </c>
      <c r="J57" s="16"/>
      <c r="K57" s="17" t="str">
        <f t="shared" si="2"/>
        <v/>
      </c>
      <c r="L57" s="18">
        <v>0.0</v>
      </c>
      <c r="M57" s="18">
        <v>0.0</v>
      </c>
      <c r="N57" s="12" t="s">
        <v>22</v>
      </c>
      <c r="O57" s="12" t="s">
        <v>183</v>
      </c>
      <c r="P57" s="12" t="s">
        <v>149</v>
      </c>
      <c r="Q57" s="19" t="s">
        <v>53</v>
      </c>
      <c r="R57" s="12" t="s">
        <v>187</v>
      </c>
      <c r="S57" s="20" t="str">
        <f>IFERROR(__xludf.DUMMYFUNCTION("iferror(REGEXEXTRACT(Q57, ""https?://(?:www\.)?([^./]+\.[^./]+)""), CONCAT(""Supplier "",P57))
"),"justdoorsuk.com")</f>
        <v>justdoorsuk.com</v>
      </c>
      <c r="T57" s="12" t="str">
        <f>IFERROR(__xludf.DUMMYFUNCTION("if(iferror(REGEXEXTRACT(Q57, ""https?://(?:www\.)?([^./]+\.[^./]+)""), ""No"" )= ""No"", ""No"", ""Yes"")"),"Yes")</f>
        <v>Yes</v>
      </c>
    </row>
    <row r="58">
      <c r="A58" s="9"/>
      <c r="B58" s="12" t="s">
        <v>188</v>
      </c>
      <c r="C58" s="11" t="s">
        <v>188</v>
      </c>
      <c r="D58" s="12" t="s">
        <v>189</v>
      </c>
      <c r="E58" s="9"/>
      <c r="F58" s="12" t="s">
        <v>147</v>
      </c>
      <c r="G58" s="13">
        <v>188.33</v>
      </c>
      <c r="H58" s="14" t="s">
        <v>21</v>
      </c>
      <c r="I58" s="15" t="str">
        <f t="shared" si="4"/>
        <v/>
      </c>
      <c r="J58" s="16"/>
      <c r="K58" s="17" t="str">
        <f t="shared" si="2"/>
        <v/>
      </c>
      <c r="L58" s="18">
        <v>0.0</v>
      </c>
      <c r="M58" s="18">
        <v>0.0</v>
      </c>
      <c r="N58" s="12" t="s">
        <v>22</v>
      </c>
      <c r="O58" s="12" t="s">
        <v>183</v>
      </c>
      <c r="P58" s="12" t="s">
        <v>149</v>
      </c>
      <c r="Q58" s="19" t="s">
        <v>53</v>
      </c>
      <c r="R58" s="12" t="s">
        <v>190</v>
      </c>
      <c r="S58" s="20" t="str">
        <f>IFERROR(__xludf.DUMMYFUNCTION("iferror(REGEXEXTRACT(Q58, ""https?://(?:www\.)?([^./]+\.[^./]+)""), CONCAT(""Supplier "",P58))
"),"justdoorsuk.com")</f>
        <v>justdoorsuk.com</v>
      </c>
      <c r="T58" s="12" t="str">
        <f>IFERROR(__xludf.DUMMYFUNCTION("if(iferror(REGEXEXTRACT(Q58, ""https?://(?:www\.)?([^./]+\.[^./]+)""), ""No"" )= ""No"", ""No"", ""Yes"")"),"Yes")</f>
        <v>Yes</v>
      </c>
    </row>
    <row r="59">
      <c r="A59" s="9"/>
      <c r="B59" s="12" t="s">
        <v>191</v>
      </c>
      <c r="C59" s="11" t="s">
        <v>191</v>
      </c>
      <c r="D59" s="12" t="s">
        <v>192</v>
      </c>
      <c r="E59" s="9"/>
      <c r="F59" s="12" t="s">
        <v>147</v>
      </c>
      <c r="G59" s="13">
        <v>204.17</v>
      </c>
      <c r="H59" s="14" t="s">
        <v>21</v>
      </c>
      <c r="I59" s="15" t="str">
        <f t="shared" si="4"/>
        <v/>
      </c>
      <c r="J59" s="16"/>
      <c r="K59" s="17" t="str">
        <f t="shared" si="2"/>
        <v/>
      </c>
      <c r="L59" s="18">
        <v>0.0</v>
      </c>
      <c r="M59" s="18">
        <v>0.0</v>
      </c>
      <c r="N59" s="12" t="s">
        <v>22</v>
      </c>
      <c r="O59" s="12" t="s">
        <v>183</v>
      </c>
      <c r="P59" s="12" t="s">
        <v>149</v>
      </c>
      <c r="Q59" s="19" t="s">
        <v>53</v>
      </c>
      <c r="R59" s="12" t="s">
        <v>193</v>
      </c>
      <c r="S59" s="20" t="str">
        <f>IFERROR(__xludf.DUMMYFUNCTION("iferror(REGEXEXTRACT(Q59, ""https?://(?:www\.)?([^./]+\.[^./]+)""), CONCAT(""Supplier "",P59))
"),"justdoorsuk.com")</f>
        <v>justdoorsuk.com</v>
      </c>
      <c r="T59" s="12" t="str">
        <f>IFERROR(__xludf.DUMMYFUNCTION("if(iferror(REGEXEXTRACT(Q59, ""https?://(?:www\.)?([^./]+\.[^./]+)""), ""No"" )= ""No"", ""No"", ""Yes"")"),"Yes")</f>
        <v>Yes</v>
      </c>
    </row>
    <row r="60">
      <c r="A60" s="9"/>
      <c r="B60" s="12" t="s">
        <v>194</v>
      </c>
      <c r="C60" s="11" t="s">
        <v>194</v>
      </c>
      <c r="D60" s="12" t="s">
        <v>195</v>
      </c>
      <c r="E60" s="9"/>
      <c r="F60" s="12" t="s">
        <v>147</v>
      </c>
      <c r="G60" s="13">
        <v>181.67</v>
      </c>
      <c r="H60" s="14" t="s">
        <v>21</v>
      </c>
      <c r="I60" s="15" t="str">
        <f t="shared" si="4"/>
        <v/>
      </c>
      <c r="J60" s="16"/>
      <c r="K60" s="17" t="str">
        <f t="shared" si="2"/>
        <v/>
      </c>
      <c r="L60" s="18">
        <v>0.0</v>
      </c>
      <c r="M60" s="18">
        <v>0.0</v>
      </c>
      <c r="N60" s="12" t="s">
        <v>22</v>
      </c>
      <c r="O60" s="12" t="s">
        <v>176</v>
      </c>
      <c r="P60" s="12" t="s">
        <v>149</v>
      </c>
      <c r="Q60" s="19" t="s">
        <v>46</v>
      </c>
      <c r="R60" s="10" t="s">
        <v>196</v>
      </c>
      <c r="S60" s="20" t="str">
        <f>IFERROR(__xludf.DUMMYFUNCTION("iferror(REGEXEXTRACT(Q60, ""https?://(?:www\.)?([^./]+\.[^./]+)""), CONCAT(""Supplier "",P60))
"),"justdoorsuk.com")</f>
        <v>justdoorsuk.com</v>
      </c>
      <c r="T60" s="12" t="str">
        <f>IFERROR(__xludf.DUMMYFUNCTION("if(iferror(REGEXEXTRACT(Q60, ""https?://(?:www\.)?([^./]+\.[^./]+)""), ""No"" )= ""No"", ""No"", ""Yes"")"),"Yes")</f>
        <v>Yes</v>
      </c>
    </row>
    <row r="61">
      <c r="A61" s="9"/>
      <c r="B61" s="12" t="s">
        <v>197</v>
      </c>
      <c r="C61" s="11" t="s">
        <v>197</v>
      </c>
      <c r="D61" s="12" t="s">
        <v>198</v>
      </c>
      <c r="E61" s="9"/>
      <c r="F61" s="12" t="s">
        <v>147</v>
      </c>
      <c r="G61" s="13">
        <v>185.83</v>
      </c>
      <c r="H61" s="14" t="s">
        <v>21</v>
      </c>
      <c r="I61" s="15" t="str">
        <f t="shared" si="4"/>
        <v/>
      </c>
      <c r="J61" s="16"/>
      <c r="K61" s="17" t="str">
        <f t="shared" si="2"/>
        <v/>
      </c>
      <c r="L61" s="18">
        <v>0.0</v>
      </c>
      <c r="M61" s="18">
        <v>0.0</v>
      </c>
      <c r="N61" s="12" t="s">
        <v>22</v>
      </c>
      <c r="O61" s="12" t="s">
        <v>199</v>
      </c>
      <c r="P61" s="12" t="s">
        <v>149</v>
      </c>
      <c r="Q61" s="19" t="s">
        <v>68</v>
      </c>
      <c r="R61" s="12" t="s">
        <v>200</v>
      </c>
      <c r="S61" s="20" t="str">
        <f>IFERROR(__xludf.DUMMYFUNCTION("iferror(REGEXEXTRACT(Q61, ""https?://(?:www\.)?([^./]+\.[^./]+)""), CONCAT(""Supplier "",P61))
"),"justdoorsuk.com")</f>
        <v>justdoorsuk.com</v>
      </c>
      <c r="T61" s="12" t="str">
        <f>IFERROR(__xludf.DUMMYFUNCTION("if(iferror(REGEXEXTRACT(Q61, ""https?://(?:www\.)?([^./]+\.[^./]+)""), ""No"" )= ""No"", ""No"", ""Yes"")"),"Yes")</f>
        <v>Yes</v>
      </c>
    </row>
    <row r="62">
      <c r="A62" s="9"/>
      <c r="B62" s="12" t="s">
        <v>201</v>
      </c>
      <c r="C62" s="11" t="s">
        <v>201</v>
      </c>
      <c r="D62" s="12" t="s">
        <v>202</v>
      </c>
      <c r="E62" s="9"/>
      <c r="F62" s="12" t="s">
        <v>147</v>
      </c>
      <c r="G62" s="13">
        <v>195.83</v>
      </c>
      <c r="H62" s="14" t="s">
        <v>21</v>
      </c>
      <c r="I62" s="15" t="str">
        <f t="shared" si="4"/>
        <v/>
      </c>
      <c r="J62" s="16"/>
      <c r="K62" s="17" t="str">
        <f t="shared" si="2"/>
        <v/>
      </c>
      <c r="L62" s="18">
        <v>0.0</v>
      </c>
      <c r="M62" s="18">
        <v>0.0</v>
      </c>
      <c r="N62" s="12" t="s">
        <v>22</v>
      </c>
      <c r="O62" s="12" t="s">
        <v>199</v>
      </c>
      <c r="P62" s="12" t="s">
        <v>149</v>
      </c>
      <c r="Q62" s="19" t="s">
        <v>68</v>
      </c>
      <c r="R62" s="12" t="s">
        <v>203</v>
      </c>
      <c r="S62" s="20" t="str">
        <f>IFERROR(__xludf.DUMMYFUNCTION("iferror(REGEXEXTRACT(Q62, ""https?://(?:www\.)?([^./]+\.[^./]+)""), CONCAT(""Supplier "",P62))
"),"justdoorsuk.com")</f>
        <v>justdoorsuk.com</v>
      </c>
      <c r="T62" s="12" t="str">
        <f>IFERROR(__xludf.DUMMYFUNCTION("if(iferror(REGEXEXTRACT(Q62, ""https?://(?:www\.)?([^./]+\.[^./]+)""), ""No"" )= ""No"", ""No"", ""Yes"")"),"Yes")</f>
        <v>Yes</v>
      </c>
    </row>
    <row r="63">
      <c r="A63" s="9"/>
      <c r="B63" s="12" t="s">
        <v>204</v>
      </c>
      <c r="C63" s="11" t="s">
        <v>204</v>
      </c>
      <c r="D63" s="12" t="s">
        <v>205</v>
      </c>
      <c r="E63" s="9"/>
      <c r="F63" s="12" t="s">
        <v>147</v>
      </c>
      <c r="G63" s="13">
        <v>201.67</v>
      </c>
      <c r="H63" s="14" t="s">
        <v>21</v>
      </c>
      <c r="I63" s="15" t="str">
        <f t="shared" si="4"/>
        <v/>
      </c>
      <c r="J63" s="16"/>
      <c r="K63" s="17" t="str">
        <f t="shared" si="2"/>
        <v/>
      </c>
      <c r="L63" s="18">
        <v>0.0</v>
      </c>
      <c r="M63" s="18">
        <v>0.0</v>
      </c>
      <c r="N63" s="12" t="s">
        <v>22</v>
      </c>
      <c r="O63" s="12" t="s">
        <v>199</v>
      </c>
      <c r="P63" s="12" t="s">
        <v>149</v>
      </c>
      <c r="Q63" s="19" t="s">
        <v>68</v>
      </c>
      <c r="R63" s="12" t="s">
        <v>206</v>
      </c>
      <c r="S63" s="20" t="str">
        <f>IFERROR(__xludf.DUMMYFUNCTION("iferror(REGEXEXTRACT(Q63, ""https?://(?:www\.)?([^./]+\.[^./]+)""), CONCAT(""Supplier "",P63))
"),"justdoorsuk.com")</f>
        <v>justdoorsuk.com</v>
      </c>
      <c r="T63" s="12" t="str">
        <f>IFERROR(__xludf.DUMMYFUNCTION("if(iferror(REGEXEXTRACT(Q63, ""https?://(?:www\.)?([^./]+\.[^./]+)""), ""No"" )= ""No"", ""No"", ""Yes"")"),"Yes")</f>
        <v>Yes</v>
      </c>
    </row>
    <row r="64">
      <c r="A64" s="9"/>
      <c r="B64" s="12" t="s">
        <v>207</v>
      </c>
      <c r="C64" s="11" t="s">
        <v>207</v>
      </c>
      <c r="D64" s="12" t="s">
        <v>208</v>
      </c>
      <c r="E64" s="9"/>
      <c r="F64" s="12" t="s">
        <v>147</v>
      </c>
      <c r="G64" s="13">
        <v>210.0</v>
      </c>
      <c r="H64" s="14" t="s">
        <v>21</v>
      </c>
      <c r="I64" s="15" t="str">
        <f t="shared" si="4"/>
        <v/>
      </c>
      <c r="J64" s="16"/>
      <c r="K64" s="17" t="str">
        <f t="shared" si="2"/>
        <v/>
      </c>
      <c r="L64" s="18">
        <v>0.0</v>
      </c>
      <c r="M64" s="18">
        <v>0.0</v>
      </c>
      <c r="N64" s="12" t="s">
        <v>22</v>
      </c>
      <c r="O64" s="12" t="s">
        <v>199</v>
      </c>
      <c r="P64" s="12" t="s">
        <v>149</v>
      </c>
      <c r="Q64" s="19" t="s">
        <v>68</v>
      </c>
      <c r="R64" s="12" t="s">
        <v>209</v>
      </c>
      <c r="S64" s="20" t="str">
        <f>IFERROR(__xludf.DUMMYFUNCTION("iferror(REGEXEXTRACT(Q64, ""https?://(?:www\.)?([^./]+\.[^./]+)""), CONCAT(""Supplier "",P64))
"),"justdoorsuk.com")</f>
        <v>justdoorsuk.com</v>
      </c>
      <c r="T64" s="12" t="str">
        <f>IFERROR(__xludf.DUMMYFUNCTION("if(iferror(REGEXEXTRACT(Q64, ""https?://(?:www\.)?([^./]+\.[^./]+)""), ""No"" )= ""No"", ""No"", ""Yes"")"),"Yes")</f>
        <v>Yes</v>
      </c>
    </row>
    <row r="65">
      <c r="A65" s="9"/>
      <c r="B65" s="12" t="s">
        <v>210</v>
      </c>
      <c r="C65" s="11" t="s">
        <v>210</v>
      </c>
      <c r="D65" s="12" t="s">
        <v>211</v>
      </c>
      <c r="E65" s="9"/>
      <c r="F65" s="12" t="s">
        <v>147</v>
      </c>
      <c r="G65" s="13">
        <v>222.5</v>
      </c>
      <c r="H65" s="14" t="s">
        <v>21</v>
      </c>
      <c r="I65" s="15" t="str">
        <f t="shared" si="4"/>
        <v/>
      </c>
      <c r="J65" s="16"/>
      <c r="K65" s="17" t="str">
        <f t="shared" si="2"/>
        <v/>
      </c>
      <c r="L65" s="18">
        <v>0.0</v>
      </c>
      <c r="M65" s="18">
        <v>0.0</v>
      </c>
      <c r="N65" s="12" t="s">
        <v>22</v>
      </c>
      <c r="O65" s="12" t="s">
        <v>199</v>
      </c>
      <c r="P65" s="12" t="s">
        <v>149</v>
      </c>
      <c r="Q65" s="19" t="s">
        <v>68</v>
      </c>
      <c r="R65" s="12" t="s">
        <v>212</v>
      </c>
      <c r="S65" s="20" t="str">
        <f>IFERROR(__xludf.DUMMYFUNCTION("iferror(REGEXEXTRACT(Q65, ""https?://(?:www\.)?([^./]+\.[^./]+)""), CONCAT(""Supplier "",P65))
"),"justdoorsuk.com")</f>
        <v>justdoorsuk.com</v>
      </c>
      <c r="T65" s="12" t="str">
        <f>IFERROR(__xludf.DUMMYFUNCTION("if(iferror(REGEXEXTRACT(Q65, ""https?://(?:www\.)?([^./]+\.[^./]+)""), ""No"" )= ""No"", ""No"", ""Yes"")"),"Yes")</f>
        <v>Yes</v>
      </c>
    </row>
    <row r="66">
      <c r="A66" s="9"/>
      <c r="B66" s="12" t="s">
        <v>213</v>
      </c>
      <c r="C66" s="11" t="s">
        <v>213</v>
      </c>
      <c r="D66" s="12" t="s">
        <v>214</v>
      </c>
      <c r="E66" s="9"/>
      <c r="F66" s="12" t="s">
        <v>147</v>
      </c>
      <c r="G66" s="13">
        <v>237.5</v>
      </c>
      <c r="H66" s="14" t="s">
        <v>21</v>
      </c>
      <c r="I66" s="15" t="str">
        <f t="shared" si="4"/>
        <v/>
      </c>
      <c r="J66" s="16"/>
      <c r="K66" s="17" t="str">
        <f t="shared" si="2"/>
        <v/>
      </c>
      <c r="L66" s="18">
        <v>0.0</v>
      </c>
      <c r="M66" s="18">
        <v>0.0</v>
      </c>
      <c r="N66" s="12" t="s">
        <v>22</v>
      </c>
      <c r="O66" s="12" t="s">
        <v>199</v>
      </c>
      <c r="P66" s="12" t="s">
        <v>149</v>
      </c>
      <c r="Q66" s="19" t="s">
        <v>68</v>
      </c>
      <c r="R66" s="12" t="s">
        <v>215</v>
      </c>
      <c r="S66" s="20" t="str">
        <f>IFERROR(__xludf.DUMMYFUNCTION("iferror(REGEXEXTRACT(Q66, ""https?://(?:www\.)?([^./]+\.[^./]+)""), CONCAT(""Supplier "",P66))
"),"justdoorsuk.com")</f>
        <v>justdoorsuk.com</v>
      </c>
      <c r="T66" s="12" t="str">
        <f>IFERROR(__xludf.DUMMYFUNCTION("if(iferror(REGEXEXTRACT(Q66, ""https?://(?:www\.)?([^./]+\.[^./]+)""), ""No"" )= ""No"", ""No"", ""Yes"")"),"Yes")</f>
        <v>Yes</v>
      </c>
    </row>
    <row r="67">
      <c r="A67" s="9"/>
      <c r="B67" s="12" t="s">
        <v>216</v>
      </c>
      <c r="C67" s="11" t="s">
        <v>216</v>
      </c>
      <c r="D67" s="12" t="s">
        <v>217</v>
      </c>
      <c r="E67" s="9"/>
      <c r="F67" s="12" t="s">
        <v>147</v>
      </c>
      <c r="G67" s="13">
        <v>263.33</v>
      </c>
      <c r="H67" s="14" t="s">
        <v>21</v>
      </c>
      <c r="I67" s="15" t="str">
        <f t="shared" si="4"/>
        <v/>
      </c>
      <c r="J67" s="16"/>
      <c r="K67" s="17" t="str">
        <f t="shared" si="2"/>
        <v/>
      </c>
      <c r="L67" s="18">
        <v>0.0</v>
      </c>
      <c r="M67" s="18">
        <v>0.0</v>
      </c>
      <c r="N67" s="12" t="s">
        <v>22</v>
      </c>
      <c r="O67" s="12" t="s">
        <v>199</v>
      </c>
      <c r="P67" s="12" t="s">
        <v>149</v>
      </c>
      <c r="Q67" s="19" t="s">
        <v>68</v>
      </c>
      <c r="R67" s="12" t="s">
        <v>218</v>
      </c>
      <c r="S67" s="20" t="str">
        <f>IFERROR(__xludf.DUMMYFUNCTION("iferror(REGEXEXTRACT(Q67, ""https?://(?:www\.)?([^./]+\.[^./]+)""), CONCAT(""Supplier "",P67))
"),"justdoorsuk.com")</f>
        <v>justdoorsuk.com</v>
      </c>
      <c r="T67" s="12" t="str">
        <f>IFERROR(__xludf.DUMMYFUNCTION("if(iferror(REGEXEXTRACT(Q67, ""https?://(?:www\.)?([^./]+\.[^./]+)""), ""No"" )= ""No"", ""No"", ""Yes"")"),"Yes")</f>
        <v>Yes</v>
      </c>
    </row>
    <row r="68">
      <c r="A68" s="9"/>
      <c r="B68" s="12" t="s">
        <v>219</v>
      </c>
      <c r="C68" s="11" t="s">
        <v>219</v>
      </c>
      <c r="D68" s="12" t="s">
        <v>220</v>
      </c>
      <c r="E68" s="9"/>
      <c r="F68" s="12" t="s">
        <v>147</v>
      </c>
      <c r="G68" s="13">
        <v>215.83</v>
      </c>
      <c r="H68" s="14" t="s">
        <v>21</v>
      </c>
      <c r="I68" s="15" t="str">
        <f t="shared" si="4"/>
        <v/>
      </c>
      <c r="J68" s="16"/>
      <c r="K68" s="17" t="str">
        <f t="shared" si="2"/>
        <v/>
      </c>
      <c r="L68" s="18">
        <v>0.0</v>
      </c>
      <c r="M68" s="18">
        <v>0.0</v>
      </c>
      <c r="N68" s="12" t="s">
        <v>22</v>
      </c>
      <c r="O68" s="12" t="s">
        <v>199</v>
      </c>
      <c r="P68" s="12" t="s">
        <v>149</v>
      </c>
      <c r="Q68" s="19" t="s">
        <v>68</v>
      </c>
      <c r="R68" s="12" t="s">
        <v>221</v>
      </c>
      <c r="S68" s="20" t="str">
        <f>IFERROR(__xludf.DUMMYFUNCTION("iferror(REGEXEXTRACT(Q68, ""https?://(?:www\.)?([^./]+\.[^./]+)""), CONCAT(""Supplier "",P68))
"),"justdoorsuk.com")</f>
        <v>justdoorsuk.com</v>
      </c>
      <c r="T68" s="12" t="str">
        <f>IFERROR(__xludf.DUMMYFUNCTION("if(iferror(REGEXEXTRACT(Q68, ""https?://(?:www\.)?([^./]+\.[^./]+)""), ""No"" )= ""No"", ""No"", ""Yes"")"),"Yes")</f>
        <v>Yes</v>
      </c>
    </row>
    <row r="69">
      <c r="A69" s="9"/>
      <c r="B69" s="12" t="s">
        <v>222</v>
      </c>
      <c r="C69" s="11" t="s">
        <v>222</v>
      </c>
      <c r="D69" s="12" t="s">
        <v>223</v>
      </c>
      <c r="E69" s="9"/>
      <c r="F69" s="12" t="s">
        <v>147</v>
      </c>
      <c r="G69" s="13">
        <v>224.17</v>
      </c>
      <c r="H69" s="14" t="s">
        <v>21</v>
      </c>
      <c r="I69" s="15" t="str">
        <f t="shared" si="4"/>
        <v/>
      </c>
      <c r="J69" s="16"/>
      <c r="K69" s="17" t="str">
        <f t="shared" si="2"/>
        <v/>
      </c>
      <c r="L69" s="18">
        <v>0.0</v>
      </c>
      <c r="M69" s="18">
        <v>0.0</v>
      </c>
      <c r="N69" s="12" t="s">
        <v>22</v>
      </c>
      <c r="O69" s="12" t="s">
        <v>199</v>
      </c>
      <c r="P69" s="12" t="s">
        <v>149</v>
      </c>
      <c r="Q69" s="19" t="s">
        <v>68</v>
      </c>
      <c r="R69" s="12" t="s">
        <v>224</v>
      </c>
      <c r="S69" s="20" t="str">
        <f>IFERROR(__xludf.DUMMYFUNCTION("iferror(REGEXEXTRACT(Q69, ""https?://(?:www\.)?([^./]+\.[^./]+)""), CONCAT(""Supplier "",P69))
"),"justdoorsuk.com")</f>
        <v>justdoorsuk.com</v>
      </c>
      <c r="T69" s="12" t="str">
        <f>IFERROR(__xludf.DUMMYFUNCTION("if(iferror(REGEXEXTRACT(Q69, ""https?://(?:www\.)?([^./]+\.[^./]+)""), ""No"" )= ""No"", ""No"", ""Yes"")"),"Yes")</f>
        <v>Yes</v>
      </c>
    </row>
    <row r="70">
      <c r="A70" s="9"/>
      <c r="B70" s="12" t="s">
        <v>225</v>
      </c>
      <c r="C70" s="11" t="s">
        <v>225</v>
      </c>
      <c r="D70" s="12" t="s">
        <v>226</v>
      </c>
      <c r="E70" s="9"/>
      <c r="F70" s="12" t="s">
        <v>147</v>
      </c>
      <c r="G70" s="13">
        <v>231.67</v>
      </c>
      <c r="H70" s="14" t="s">
        <v>21</v>
      </c>
      <c r="I70" s="15" t="str">
        <f t="shared" si="4"/>
        <v/>
      </c>
      <c r="J70" s="16"/>
      <c r="K70" s="17" t="str">
        <f t="shared" si="2"/>
        <v/>
      </c>
      <c r="L70" s="18">
        <v>0.0</v>
      </c>
      <c r="M70" s="18">
        <v>0.0</v>
      </c>
      <c r="N70" s="12" t="s">
        <v>22</v>
      </c>
      <c r="O70" s="12" t="s">
        <v>227</v>
      </c>
      <c r="P70" s="12" t="s">
        <v>149</v>
      </c>
      <c r="Q70" s="19" t="s">
        <v>68</v>
      </c>
      <c r="R70" s="12" t="s">
        <v>228</v>
      </c>
      <c r="S70" s="20" t="str">
        <f>IFERROR(__xludf.DUMMYFUNCTION("iferror(REGEXEXTRACT(Q70, ""https?://(?:www\.)?([^./]+\.[^./]+)""), CONCAT(""Supplier "",P70))
"),"justdoorsuk.com")</f>
        <v>justdoorsuk.com</v>
      </c>
      <c r="T70" s="12" t="str">
        <f>IFERROR(__xludf.DUMMYFUNCTION("if(iferror(REGEXEXTRACT(Q70, ""https?://(?:www\.)?([^./]+\.[^./]+)""), ""No"" )= ""No"", ""No"", ""Yes"")"),"Yes")</f>
        <v>Yes</v>
      </c>
    </row>
    <row r="71">
      <c r="A71" s="9"/>
      <c r="B71" s="12" t="s">
        <v>229</v>
      </c>
      <c r="C71" s="11" t="s">
        <v>229</v>
      </c>
      <c r="D71" s="12" t="s">
        <v>230</v>
      </c>
      <c r="E71" s="9"/>
      <c r="F71" s="12" t="s">
        <v>147</v>
      </c>
      <c r="G71" s="13">
        <v>269.17</v>
      </c>
      <c r="H71" s="14" t="s">
        <v>21</v>
      </c>
      <c r="I71" s="15" t="str">
        <f t="shared" si="4"/>
        <v/>
      </c>
      <c r="J71" s="16"/>
      <c r="K71" s="17" t="str">
        <f t="shared" si="2"/>
        <v/>
      </c>
      <c r="L71" s="18">
        <v>0.0</v>
      </c>
      <c r="M71" s="18">
        <v>0.0</v>
      </c>
      <c r="N71" s="12" t="s">
        <v>22</v>
      </c>
      <c r="O71" s="12" t="s">
        <v>227</v>
      </c>
      <c r="P71" s="12" t="s">
        <v>149</v>
      </c>
      <c r="Q71" s="19" t="s">
        <v>68</v>
      </c>
      <c r="R71" s="12" t="s">
        <v>231</v>
      </c>
      <c r="S71" s="20" t="str">
        <f>IFERROR(__xludf.DUMMYFUNCTION("iferror(REGEXEXTRACT(Q71, ""https?://(?:www\.)?([^./]+\.[^./]+)""), CONCAT(""Supplier "",P71))
"),"justdoorsuk.com")</f>
        <v>justdoorsuk.com</v>
      </c>
      <c r="T71" s="12" t="str">
        <f>IFERROR(__xludf.DUMMYFUNCTION("if(iferror(REGEXEXTRACT(Q71, ""https?://(?:www\.)?([^./]+\.[^./]+)""), ""No"" )= ""No"", ""No"", ""Yes"")"),"Yes")</f>
        <v>Yes</v>
      </c>
    </row>
    <row r="72">
      <c r="A72" s="9"/>
      <c r="B72" s="12" t="s">
        <v>232</v>
      </c>
      <c r="C72" s="11" t="s">
        <v>232</v>
      </c>
      <c r="D72" s="12" t="s">
        <v>233</v>
      </c>
      <c r="E72" s="9"/>
      <c r="F72" s="12" t="s">
        <v>147</v>
      </c>
      <c r="G72" s="13">
        <v>324.86</v>
      </c>
      <c r="H72" s="14" t="s">
        <v>21</v>
      </c>
      <c r="I72" s="13">
        <v>324.86</v>
      </c>
      <c r="J72" s="16"/>
      <c r="K72" s="21">
        <f t="shared" si="2"/>
        <v>0</v>
      </c>
      <c r="L72" s="18">
        <v>0.0</v>
      </c>
      <c r="M72" s="18">
        <v>0.0</v>
      </c>
      <c r="N72" s="12" t="s">
        <v>22</v>
      </c>
      <c r="O72" s="12" t="s">
        <v>234</v>
      </c>
      <c r="P72" s="12" t="s">
        <v>154</v>
      </c>
      <c r="Q72" s="19" t="s">
        <v>97</v>
      </c>
      <c r="R72" s="10" t="s">
        <v>235</v>
      </c>
      <c r="S72" s="20" t="str">
        <f>IFERROR(__xludf.DUMMYFUNCTION("iferror(REGEXEXTRACT(Q72, ""https?://(?:www\.)?([^./]+\.[^./]+)""), CONCAT(""Supplier "",P72))
"),"justdoorsuk.com")</f>
        <v>justdoorsuk.com</v>
      </c>
      <c r="T72" s="12" t="str">
        <f>IFERROR(__xludf.DUMMYFUNCTION("if(iferror(REGEXEXTRACT(Q72, ""https?://(?:www\.)?([^./]+\.[^./]+)""), ""No"" )= ""No"", ""No"", ""Yes"")"),"Yes")</f>
        <v>Yes</v>
      </c>
    </row>
    <row r="73">
      <c r="A73" s="9"/>
      <c r="B73" s="12" t="s">
        <v>236</v>
      </c>
      <c r="C73" s="11" t="s">
        <v>236</v>
      </c>
      <c r="D73" s="12" t="s">
        <v>237</v>
      </c>
      <c r="E73" s="9"/>
      <c r="F73" s="12" t="s">
        <v>147</v>
      </c>
      <c r="G73" s="13">
        <v>387.5</v>
      </c>
      <c r="H73" s="14" t="s">
        <v>21</v>
      </c>
      <c r="I73" s="15" t="str">
        <f t="shared" ref="I73:I89" si="5">IF(J73="","",J73/1.2)</f>
        <v/>
      </c>
      <c r="J73" s="16"/>
      <c r="K73" s="17" t="str">
        <f t="shared" si="2"/>
        <v/>
      </c>
      <c r="L73" s="18">
        <v>0.0</v>
      </c>
      <c r="M73" s="18">
        <v>0.0</v>
      </c>
      <c r="N73" s="12" t="s">
        <v>22</v>
      </c>
      <c r="O73" s="12" t="s">
        <v>238</v>
      </c>
      <c r="P73" s="12" t="s">
        <v>149</v>
      </c>
      <c r="Q73" s="19" t="s">
        <v>97</v>
      </c>
      <c r="R73" s="12" t="s">
        <v>239</v>
      </c>
      <c r="S73" s="20" t="str">
        <f>IFERROR(__xludf.DUMMYFUNCTION("iferror(REGEXEXTRACT(Q73, ""https?://(?:www\.)?([^./]+\.[^./]+)""), CONCAT(""Supplier "",P73))
"),"justdoorsuk.com")</f>
        <v>justdoorsuk.com</v>
      </c>
      <c r="T73" s="12" t="str">
        <f>IFERROR(__xludf.DUMMYFUNCTION("if(iferror(REGEXEXTRACT(Q73, ""https?://(?:www\.)?([^./]+\.[^./]+)""), ""No"" )= ""No"", ""No"", ""Yes"")"),"Yes")</f>
        <v>Yes</v>
      </c>
    </row>
    <row r="74">
      <c r="A74" s="9"/>
      <c r="B74" s="12" t="s">
        <v>240</v>
      </c>
      <c r="C74" s="11" t="s">
        <v>240</v>
      </c>
      <c r="D74" s="12" t="s">
        <v>241</v>
      </c>
      <c r="E74" s="9"/>
      <c r="F74" s="12" t="s">
        <v>147</v>
      </c>
      <c r="G74" s="13">
        <v>287.5</v>
      </c>
      <c r="H74" s="14" t="s">
        <v>21</v>
      </c>
      <c r="I74" s="15" t="str">
        <f t="shared" si="5"/>
        <v/>
      </c>
      <c r="J74" s="16"/>
      <c r="K74" s="17" t="str">
        <f t="shared" si="2"/>
        <v/>
      </c>
      <c r="L74" s="18">
        <v>0.0</v>
      </c>
      <c r="M74" s="18">
        <v>0.0</v>
      </c>
      <c r="N74" s="12" t="s">
        <v>22</v>
      </c>
      <c r="O74" s="12" t="s">
        <v>242</v>
      </c>
      <c r="P74" s="12" t="s">
        <v>149</v>
      </c>
      <c r="Q74" s="19" t="s">
        <v>104</v>
      </c>
      <c r="R74" s="12" t="s">
        <v>243</v>
      </c>
      <c r="S74" s="20" t="str">
        <f>IFERROR(__xludf.DUMMYFUNCTION("iferror(REGEXEXTRACT(Q74, ""https?://(?:www\.)?([^./]+\.[^./]+)""), CONCAT(""Supplier "",P74))
"),"justdoorsuk.com")</f>
        <v>justdoorsuk.com</v>
      </c>
      <c r="T74" s="12" t="str">
        <f>IFERROR(__xludf.DUMMYFUNCTION("if(iferror(REGEXEXTRACT(Q74, ""https?://(?:www\.)?([^./]+\.[^./]+)""), ""No"" )= ""No"", ""No"", ""Yes"")"),"Yes")</f>
        <v>Yes</v>
      </c>
    </row>
    <row r="75">
      <c r="A75" s="9"/>
      <c r="B75" s="12" t="s">
        <v>244</v>
      </c>
      <c r="C75" s="11" t="s">
        <v>244</v>
      </c>
      <c r="D75" s="12" t="s">
        <v>245</v>
      </c>
      <c r="E75" s="9"/>
      <c r="F75" s="12" t="s">
        <v>147</v>
      </c>
      <c r="G75" s="13">
        <v>312.5</v>
      </c>
      <c r="H75" s="14" t="s">
        <v>21</v>
      </c>
      <c r="I75" s="15" t="str">
        <f t="shared" si="5"/>
        <v/>
      </c>
      <c r="J75" s="16"/>
      <c r="K75" s="17" t="str">
        <f t="shared" si="2"/>
        <v/>
      </c>
      <c r="L75" s="18">
        <v>0.0</v>
      </c>
      <c r="M75" s="18">
        <v>0.0</v>
      </c>
      <c r="N75" s="12" t="s">
        <v>22</v>
      </c>
      <c r="O75" s="12" t="s">
        <v>242</v>
      </c>
      <c r="P75" s="12" t="s">
        <v>149</v>
      </c>
      <c r="Q75" s="19" t="s">
        <v>104</v>
      </c>
      <c r="R75" s="12" t="s">
        <v>246</v>
      </c>
      <c r="S75" s="20" t="str">
        <f>IFERROR(__xludf.DUMMYFUNCTION("iferror(REGEXEXTRACT(Q75, ""https?://(?:www\.)?([^./]+\.[^./]+)""), CONCAT(""Supplier "",P75))
"),"justdoorsuk.com")</f>
        <v>justdoorsuk.com</v>
      </c>
      <c r="T75" s="12" t="str">
        <f>IFERROR(__xludf.DUMMYFUNCTION("if(iferror(REGEXEXTRACT(Q75, ""https?://(?:www\.)?([^./]+\.[^./]+)""), ""No"" )= ""No"", ""No"", ""Yes"")"),"Yes")</f>
        <v>Yes</v>
      </c>
    </row>
    <row r="76">
      <c r="A76" s="9"/>
      <c r="B76" s="12" t="s">
        <v>247</v>
      </c>
      <c r="C76" s="11" t="s">
        <v>247</v>
      </c>
      <c r="D76" s="12" t="s">
        <v>248</v>
      </c>
      <c r="E76" s="9"/>
      <c r="F76" s="12" t="s">
        <v>147</v>
      </c>
      <c r="G76" s="13">
        <v>330.0</v>
      </c>
      <c r="H76" s="14" t="s">
        <v>21</v>
      </c>
      <c r="I76" s="15" t="str">
        <f t="shared" si="5"/>
        <v/>
      </c>
      <c r="J76" s="16"/>
      <c r="K76" s="17" t="str">
        <f t="shared" si="2"/>
        <v/>
      </c>
      <c r="L76" s="18">
        <v>0.0</v>
      </c>
      <c r="M76" s="18">
        <v>0.0</v>
      </c>
      <c r="N76" s="12" t="s">
        <v>22</v>
      </c>
      <c r="O76" s="12" t="s">
        <v>242</v>
      </c>
      <c r="P76" s="12" t="s">
        <v>149</v>
      </c>
      <c r="Q76" s="19" t="s">
        <v>104</v>
      </c>
      <c r="R76" s="12" t="s">
        <v>249</v>
      </c>
      <c r="S76" s="20" t="str">
        <f>IFERROR(__xludf.DUMMYFUNCTION("iferror(REGEXEXTRACT(Q76, ""https?://(?:www\.)?([^./]+\.[^./]+)""), CONCAT(""Supplier "",P76))
"),"justdoorsuk.com")</f>
        <v>justdoorsuk.com</v>
      </c>
      <c r="T76" s="12" t="str">
        <f>IFERROR(__xludf.DUMMYFUNCTION("if(iferror(REGEXEXTRACT(Q76, ""https?://(?:www\.)?([^./]+\.[^./]+)""), ""No"" )= ""No"", ""No"", ""Yes"")"),"Yes")</f>
        <v>Yes</v>
      </c>
    </row>
    <row r="77">
      <c r="A77" s="9"/>
      <c r="B77" s="12" t="s">
        <v>250</v>
      </c>
      <c r="C77" s="11" t="s">
        <v>250</v>
      </c>
      <c r="D77" s="12" t="s">
        <v>251</v>
      </c>
      <c r="E77" s="9"/>
      <c r="F77" s="12" t="s">
        <v>147</v>
      </c>
      <c r="G77" s="13">
        <v>312.5</v>
      </c>
      <c r="H77" s="14" t="s">
        <v>21</v>
      </c>
      <c r="I77" s="15" t="str">
        <f t="shared" si="5"/>
        <v/>
      </c>
      <c r="J77" s="16"/>
      <c r="K77" s="17" t="str">
        <f t="shared" si="2"/>
        <v/>
      </c>
      <c r="L77" s="18">
        <v>0.0</v>
      </c>
      <c r="M77" s="18">
        <v>0.0</v>
      </c>
      <c r="N77" s="12" t="s">
        <v>22</v>
      </c>
      <c r="O77" s="12" t="s">
        <v>242</v>
      </c>
      <c r="P77" s="12" t="s">
        <v>149</v>
      </c>
      <c r="Q77" s="19" t="s">
        <v>104</v>
      </c>
      <c r="R77" s="10" t="s">
        <v>252</v>
      </c>
      <c r="S77" s="20" t="str">
        <f>IFERROR(__xludf.DUMMYFUNCTION("iferror(REGEXEXTRACT(Q77, ""https?://(?:www\.)?([^./]+\.[^./]+)""), CONCAT(""Supplier "",P77))
"),"justdoorsuk.com")</f>
        <v>justdoorsuk.com</v>
      </c>
      <c r="T77" s="12" t="str">
        <f>IFERROR(__xludf.DUMMYFUNCTION("if(iferror(REGEXEXTRACT(Q77, ""https?://(?:www\.)?([^./]+\.[^./]+)""), ""No"" )= ""No"", ""No"", ""Yes"")"),"Yes")</f>
        <v>Yes</v>
      </c>
    </row>
    <row r="78">
      <c r="A78" s="9"/>
      <c r="B78" s="12" t="s">
        <v>253</v>
      </c>
      <c r="C78" s="11" t="s">
        <v>253</v>
      </c>
      <c r="D78" s="12" t="s">
        <v>254</v>
      </c>
      <c r="E78" s="9"/>
      <c r="F78" s="12" t="s">
        <v>147</v>
      </c>
      <c r="G78" s="13">
        <v>342.5</v>
      </c>
      <c r="H78" s="14" t="s">
        <v>21</v>
      </c>
      <c r="I78" s="15" t="str">
        <f t="shared" si="5"/>
        <v/>
      </c>
      <c r="J78" s="16"/>
      <c r="K78" s="17" t="str">
        <f t="shared" si="2"/>
        <v/>
      </c>
      <c r="L78" s="18">
        <v>0.0</v>
      </c>
      <c r="M78" s="18">
        <v>0.0</v>
      </c>
      <c r="N78" s="12" t="s">
        <v>22</v>
      </c>
      <c r="O78" s="12" t="s">
        <v>255</v>
      </c>
      <c r="P78" s="12" t="s">
        <v>149</v>
      </c>
      <c r="Q78" s="19" t="s">
        <v>115</v>
      </c>
      <c r="R78" s="12" t="s">
        <v>256</v>
      </c>
      <c r="S78" s="20" t="str">
        <f>IFERROR(__xludf.DUMMYFUNCTION("iferror(REGEXEXTRACT(Q78, ""https?://(?:www\.)?([^./]+\.[^./]+)""), CONCAT(""Supplier "",P78))
"),"justdoorsuk.com")</f>
        <v>justdoorsuk.com</v>
      </c>
      <c r="T78" s="12" t="str">
        <f>IFERROR(__xludf.DUMMYFUNCTION("if(iferror(REGEXEXTRACT(Q78, ""https?://(?:www\.)?([^./]+\.[^./]+)""), ""No"" )= ""No"", ""No"", ""Yes"")"),"Yes")</f>
        <v>Yes</v>
      </c>
    </row>
    <row r="79">
      <c r="A79" s="9"/>
      <c r="B79" s="12" t="s">
        <v>257</v>
      </c>
      <c r="C79" s="11" t="s">
        <v>257</v>
      </c>
      <c r="D79" s="12" t="s">
        <v>258</v>
      </c>
      <c r="E79" s="9"/>
      <c r="F79" s="12" t="s">
        <v>147</v>
      </c>
      <c r="G79" s="13">
        <v>491.67</v>
      </c>
      <c r="H79" s="14" t="s">
        <v>21</v>
      </c>
      <c r="I79" s="15" t="str">
        <f t="shared" si="5"/>
        <v/>
      </c>
      <c r="J79" s="16"/>
      <c r="K79" s="17" t="str">
        <f t="shared" si="2"/>
        <v/>
      </c>
      <c r="L79" s="18">
        <v>0.0</v>
      </c>
      <c r="M79" s="18">
        <v>0.0</v>
      </c>
      <c r="N79" s="12" t="s">
        <v>22</v>
      </c>
      <c r="O79" s="12" t="s">
        <v>259</v>
      </c>
      <c r="P79" s="12" t="s">
        <v>149</v>
      </c>
      <c r="Q79" s="19" t="s">
        <v>120</v>
      </c>
      <c r="R79" s="12" t="s">
        <v>260</v>
      </c>
      <c r="S79" s="20" t="str">
        <f>IFERROR(__xludf.DUMMYFUNCTION("iferror(REGEXEXTRACT(Q79, ""https?://(?:www\.)?([^./]+\.[^./]+)""), CONCAT(""Supplier "",P79))
"),"justdoorsuk.com")</f>
        <v>justdoorsuk.com</v>
      </c>
      <c r="T79" s="12" t="str">
        <f>IFERROR(__xludf.DUMMYFUNCTION("if(iferror(REGEXEXTRACT(Q79, ""https?://(?:www\.)?([^./]+\.[^./]+)""), ""No"" )= ""No"", ""No"", ""Yes"")"),"Yes")</f>
        <v>Yes</v>
      </c>
    </row>
    <row r="80">
      <c r="A80" s="9"/>
      <c r="B80" s="12" t="s">
        <v>261</v>
      </c>
      <c r="C80" s="11" t="s">
        <v>261</v>
      </c>
      <c r="D80" s="12" t="s">
        <v>262</v>
      </c>
      <c r="E80" s="9"/>
      <c r="F80" s="12" t="s">
        <v>147</v>
      </c>
      <c r="G80" s="13">
        <v>416.67</v>
      </c>
      <c r="H80" s="14" t="s">
        <v>21</v>
      </c>
      <c r="I80" s="15" t="str">
        <f t="shared" si="5"/>
        <v/>
      </c>
      <c r="J80" s="16"/>
      <c r="K80" s="17" t="str">
        <f t="shared" si="2"/>
        <v/>
      </c>
      <c r="L80" s="18">
        <v>0.0</v>
      </c>
      <c r="M80" s="18">
        <v>0.0</v>
      </c>
      <c r="N80" s="12" t="s">
        <v>22</v>
      </c>
      <c r="O80" s="12" t="s">
        <v>259</v>
      </c>
      <c r="P80" s="12" t="s">
        <v>149</v>
      </c>
      <c r="Q80" s="19" t="s">
        <v>120</v>
      </c>
      <c r="R80" s="12" t="s">
        <v>263</v>
      </c>
      <c r="S80" s="20" t="str">
        <f>IFERROR(__xludf.DUMMYFUNCTION("iferror(REGEXEXTRACT(Q80, ""https?://(?:www\.)?([^./]+\.[^./]+)""), CONCAT(""Supplier "",P80))
"),"justdoorsuk.com")</f>
        <v>justdoorsuk.com</v>
      </c>
      <c r="T80" s="12" t="str">
        <f>IFERROR(__xludf.DUMMYFUNCTION("if(iferror(REGEXEXTRACT(Q80, ""https?://(?:www\.)?([^./]+\.[^./]+)""), ""No"" )= ""No"", ""No"", ""Yes"")"),"Yes")</f>
        <v>Yes</v>
      </c>
    </row>
    <row r="81">
      <c r="A81" s="9"/>
      <c r="B81" s="12" t="s">
        <v>264</v>
      </c>
      <c r="C81" s="11" t="s">
        <v>264</v>
      </c>
      <c r="D81" s="12" t="s">
        <v>265</v>
      </c>
      <c r="E81" s="9"/>
      <c r="F81" s="12" t="s">
        <v>147</v>
      </c>
      <c r="G81" s="13">
        <v>454.17</v>
      </c>
      <c r="H81" s="14" t="s">
        <v>21</v>
      </c>
      <c r="I81" s="15" t="str">
        <f t="shared" si="5"/>
        <v/>
      </c>
      <c r="J81" s="16"/>
      <c r="K81" s="17" t="str">
        <f t="shared" si="2"/>
        <v/>
      </c>
      <c r="L81" s="18">
        <v>0.0</v>
      </c>
      <c r="M81" s="18">
        <v>0.0</v>
      </c>
      <c r="N81" s="12" t="s">
        <v>22</v>
      </c>
      <c r="O81" s="12" t="s">
        <v>259</v>
      </c>
      <c r="P81" s="12" t="s">
        <v>149</v>
      </c>
      <c r="Q81" s="19" t="s">
        <v>120</v>
      </c>
      <c r="R81" s="12" t="s">
        <v>266</v>
      </c>
      <c r="S81" s="20" t="str">
        <f>IFERROR(__xludf.DUMMYFUNCTION("iferror(REGEXEXTRACT(Q81, ""https?://(?:www\.)?([^./]+\.[^./]+)""), CONCAT(""Supplier "",P81))
"),"justdoorsuk.com")</f>
        <v>justdoorsuk.com</v>
      </c>
      <c r="T81" s="12" t="str">
        <f>IFERROR(__xludf.DUMMYFUNCTION("if(iferror(REGEXEXTRACT(Q81, ""https?://(?:www\.)?([^./]+\.[^./]+)""), ""No"" )= ""No"", ""No"", ""Yes"")"),"Yes")</f>
        <v>Yes</v>
      </c>
    </row>
    <row r="82">
      <c r="A82" s="9"/>
      <c r="B82" s="12" t="s">
        <v>267</v>
      </c>
      <c r="C82" s="11" t="s">
        <v>267</v>
      </c>
      <c r="D82" s="12" t="s">
        <v>268</v>
      </c>
      <c r="E82" s="9"/>
      <c r="F82" s="12" t="s">
        <v>147</v>
      </c>
      <c r="G82" s="13">
        <v>470.83</v>
      </c>
      <c r="H82" s="14" t="s">
        <v>21</v>
      </c>
      <c r="I82" s="15" t="str">
        <f t="shared" si="5"/>
        <v/>
      </c>
      <c r="J82" s="16"/>
      <c r="K82" s="17" t="str">
        <f t="shared" si="2"/>
        <v/>
      </c>
      <c r="L82" s="18">
        <v>0.0</v>
      </c>
      <c r="M82" s="18">
        <v>0.0</v>
      </c>
      <c r="N82" s="12" t="s">
        <v>22</v>
      </c>
      <c r="O82" s="12" t="s">
        <v>259</v>
      </c>
      <c r="P82" s="12" t="s">
        <v>149</v>
      </c>
      <c r="Q82" s="19" t="s">
        <v>120</v>
      </c>
      <c r="R82" s="12" t="s">
        <v>269</v>
      </c>
      <c r="S82" s="20" t="str">
        <f>IFERROR(__xludf.DUMMYFUNCTION("iferror(REGEXEXTRACT(Q82, ""https?://(?:www\.)?([^./]+\.[^./]+)""), CONCAT(""Supplier "",P82))
"),"justdoorsuk.com")</f>
        <v>justdoorsuk.com</v>
      </c>
      <c r="T82" s="12" t="str">
        <f>IFERROR(__xludf.DUMMYFUNCTION("if(iferror(REGEXEXTRACT(Q82, ""https?://(?:www\.)?([^./]+\.[^./]+)""), ""No"" )= ""No"", ""No"", ""Yes"")"),"Yes")</f>
        <v>Yes</v>
      </c>
    </row>
    <row r="83">
      <c r="A83" s="9"/>
      <c r="B83" s="12" t="s">
        <v>270</v>
      </c>
      <c r="C83" s="11" t="s">
        <v>270</v>
      </c>
      <c r="D83" s="12" t="s">
        <v>271</v>
      </c>
      <c r="E83" s="9"/>
      <c r="F83" s="12" t="s">
        <v>147</v>
      </c>
      <c r="G83" s="13">
        <v>524.17</v>
      </c>
      <c r="H83" s="14" t="s">
        <v>21</v>
      </c>
      <c r="I83" s="15" t="str">
        <f t="shared" si="5"/>
        <v/>
      </c>
      <c r="J83" s="16"/>
      <c r="K83" s="17" t="str">
        <f t="shared" si="2"/>
        <v/>
      </c>
      <c r="L83" s="18">
        <v>0.0</v>
      </c>
      <c r="M83" s="18">
        <v>0.0</v>
      </c>
      <c r="N83" s="12" t="s">
        <v>22</v>
      </c>
      <c r="O83" s="12" t="s">
        <v>259</v>
      </c>
      <c r="P83" s="12" t="s">
        <v>149</v>
      </c>
      <c r="Q83" s="19" t="s">
        <v>120</v>
      </c>
      <c r="R83" s="12" t="s">
        <v>272</v>
      </c>
      <c r="S83" s="20" t="str">
        <f>IFERROR(__xludf.DUMMYFUNCTION("iferror(REGEXEXTRACT(Q83, ""https?://(?:www\.)?([^./]+\.[^./]+)""), CONCAT(""Supplier "",P83))
"),"justdoorsuk.com")</f>
        <v>justdoorsuk.com</v>
      </c>
      <c r="T83" s="12" t="str">
        <f>IFERROR(__xludf.DUMMYFUNCTION("if(iferror(REGEXEXTRACT(Q83, ""https?://(?:www\.)?([^./]+\.[^./]+)""), ""No"" )= ""No"", ""No"", ""Yes"")"),"Yes")</f>
        <v>Yes</v>
      </c>
    </row>
    <row r="84">
      <c r="A84" s="9"/>
      <c r="B84" s="12" t="s">
        <v>273</v>
      </c>
      <c r="C84" s="11" t="s">
        <v>273</v>
      </c>
      <c r="D84" s="12" t="s">
        <v>274</v>
      </c>
      <c r="E84" s="9"/>
      <c r="F84" s="12" t="s">
        <v>147</v>
      </c>
      <c r="G84" s="13">
        <v>466.67</v>
      </c>
      <c r="H84" s="14" t="s">
        <v>21</v>
      </c>
      <c r="I84" s="15" t="str">
        <f t="shared" si="5"/>
        <v/>
      </c>
      <c r="J84" s="16"/>
      <c r="K84" s="17" t="str">
        <f t="shared" si="2"/>
        <v/>
      </c>
      <c r="L84" s="18">
        <v>0.0</v>
      </c>
      <c r="M84" s="18">
        <v>0.0</v>
      </c>
      <c r="N84" s="12" t="s">
        <v>22</v>
      </c>
      <c r="O84" s="12" t="s">
        <v>275</v>
      </c>
      <c r="P84" s="12" t="s">
        <v>149</v>
      </c>
      <c r="Q84" s="19" t="s">
        <v>133</v>
      </c>
      <c r="R84" s="12" t="s">
        <v>276</v>
      </c>
      <c r="S84" s="20" t="str">
        <f>IFERROR(__xludf.DUMMYFUNCTION("iferror(REGEXEXTRACT(Q84, ""https?://(?:www\.)?([^./]+\.[^./]+)""), CONCAT(""Supplier "",P84))
"),"justdoorsuk.com")</f>
        <v>justdoorsuk.com</v>
      </c>
      <c r="T84" s="12" t="str">
        <f>IFERROR(__xludf.DUMMYFUNCTION("if(iferror(REGEXEXTRACT(Q84, ""https?://(?:www\.)?([^./]+\.[^./]+)""), ""No"" )= ""No"", ""No"", ""Yes"")"),"Yes")</f>
        <v>Yes</v>
      </c>
    </row>
    <row r="85">
      <c r="A85" s="9"/>
      <c r="B85" s="12" t="s">
        <v>277</v>
      </c>
      <c r="C85" s="11" t="s">
        <v>277</v>
      </c>
      <c r="D85" s="12" t="s">
        <v>278</v>
      </c>
      <c r="E85" s="9"/>
      <c r="F85" s="12" t="s">
        <v>147</v>
      </c>
      <c r="G85" s="13">
        <v>503.33</v>
      </c>
      <c r="H85" s="14" t="s">
        <v>21</v>
      </c>
      <c r="I85" s="15" t="str">
        <f t="shared" si="5"/>
        <v/>
      </c>
      <c r="J85" s="16"/>
      <c r="K85" s="17" t="str">
        <f t="shared" si="2"/>
        <v/>
      </c>
      <c r="L85" s="18">
        <v>0.0</v>
      </c>
      <c r="M85" s="18">
        <v>0.0</v>
      </c>
      <c r="N85" s="12" t="s">
        <v>22</v>
      </c>
      <c r="O85" s="12" t="s">
        <v>275</v>
      </c>
      <c r="P85" s="12" t="s">
        <v>149</v>
      </c>
      <c r="Q85" s="19" t="s">
        <v>133</v>
      </c>
      <c r="R85" s="12" t="s">
        <v>279</v>
      </c>
      <c r="S85" s="20" t="str">
        <f>IFERROR(__xludf.DUMMYFUNCTION("iferror(REGEXEXTRACT(Q85, ""https?://(?:www\.)?([^./]+\.[^./]+)""), CONCAT(""Supplier "",P85))
"),"justdoorsuk.com")</f>
        <v>justdoorsuk.com</v>
      </c>
      <c r="T85" s="12" t="str">
        <f>IFERROR(__xludf.DUMMYFUNCTION("if(iferror(REGEXEXTRACT(Q85, ""https?://(?:www\.)?([^./]+\.[^./]+)""), ""No"" )= ""No"", ""No"", ""Yes"")"),"Yes")</f>
        <v>Yes</v>
      </c>
    </row>
    <row r="86">
      <c r="A86" s="9"/>
      <c r="B86" s="12" t="s">
        <v>280</v>
      </c>
      <c r="C86" s="11" t="s">
        <v>280</v>
      </c>
      <c r="D86" s="12" t="s">
        <v>281</v>
      </c>
      <c r="E86" s="9"/>
      <c r="F86" s="12" t="s">
        <v>147</v>
      </c>
      <c r="G86" s="13">
        <v>540.83</v>
      </c>
      <c r="H86" s="14" t="s">
        <v>21</v>
      </c>
      <c r="I86" s="15" t="str">
        <f t="shared" si="5"/>
        <v/>
      </c>
      <c r="J86" s="16"/>
      <c r="K86" s="17" t="str">
        <f t="shared" si="2"/>
        <v/>
      </c>
      <c r="L86" s="18">
        <v>0.0</v>
      </c>
      <c r="M86" s="18">
        <v>0.0</v>
      </c>
      <c r="N86" s="12" t="s">
        <v>22</v>
      </c>
      <c r="O86" s="12" t="s">
        <v>275</v>
      </c>
      <c r="P86" s="12" t="s">
        <v>149</v>
      </c>
      <c r="Q86" s="19" t="s">
        <v>133</v>
      </c>
      <c r="R86" s="12" t="s">
        <v>282</v>
      </c>
      <c r="S86" s="20" t="str">
        <f>IFERROR(__xludf.DUMMYFUNCTION("iferror(REGEXEXTRACT(Q86, ""https?://(?:www\.)?([^./]+\.[^./]+)""), CONCAT(""Supplier "",P86))
"),"justdoorsuk.com")</f>
        <v>justdoorsuk.com</v>
      </c>
      <c r="T86" s="12" t="str">
        <f>IFERROR(__xludf.DUMMYFUNCTION("if(iferror(REGEXEXTRACT(Q86, ""https?://(?:www\.)?([^./]+\.[^./]+)""), ""No"" )= ""No"", ""No"", ""Yes"")"),"Yes")</f>
        <v>Yes</v>
      </c>
    </row>
    <row r="87">
      <c r="A87" s="9"/>
      <c r="B87" s="12" t="s">
        <v>283</v>
      </c>
      <c r="C87" s="11" t="s">
        <v>283</v>
      </c>
      <c r="D87" s="12" t="s">
        <v>284</v>
      </c>
      <c r="E87" s="9"/>
      <c r="F87" s="12" t="s">
        <v>147</v>
      </c>
      <c r="G87" s="13">
        <v>535.83</v>
      </c>
      <c r="H87" s="14" t="s">
        <v>21</v>
      </c>
      <c r="I87" s="15" t="str">
        <f t="shared" si="5"/>
        <v/>
      </c>
      <c r="J87" s="16"/>
      <c r="K87" s="17" t="str">
        <f t="shared" si="2"/>
        <v/>
      </c>
      <c r="L87" s="18">
        <v>0.0</v>
      </c>
      <c r="M87" s="18">
        <v>0.0</v>
      </c>
      <c r="N87" s="12" t="s">
        <v>22</v>
      </c>
      <c r="O87" s="12" t="s">
        <v>275</v>
      </c>
      <c r="P87" s="12" t="s">
        <v>149</v>
      </c>
      <c r="Q87" s="19" t="s">
        <v>133</v>
      </c>
      <c r="R87" s="12" t="s">
        <v>285</v>
      </c>
      <c r="S87" s="20" t="str">
        <f>IFERROR(__xludf.DUMMYFUNCTION("iferror(REGEXEXTRACT(Q87, ""https?://(?:www\.)?([^./]+\.[^./]+)""), CONCAT(""Supplier "",P87))
"),"justdoorsuk.com")</f>
        <v>justdoorsuk.com</v>
      </c>
      <c r="T87" s="12" t="str">
        <f>IFERROR(__xludf.DUMMYFUNCTION("if(iferror(REGEXEXTRACT(Q87, ""https?://(?:www\.)?([^./]+\.[^./]+)""), ""No"" )= ""No"", ""No"", ""Yes"")"),"Yes")</f>
        <v>Yes</v>
      </c>
    </row>
    <row r="88">
      <c r="A88" s="9"/>
      <c r="B88" s="12" t="s">
        <v>286</v>
      </c>
      <c r="C88" s="11" t="s">
        <v>286</v>
      </c>
      <c r="D88" s="12" t="s">
        <v>287</v>
      </c>
      <c r="E88" s="9"/>
      <c r="F88" s="12" t="s">
        <v>147</v>
      </c>
      <c r="G88" s="13">
        <v>552.5</v>
      </c>
      <c r="H88" s="14" t="s">
        <v>21</v>
      </c>
      <c r="I88" s="15" t="str">
        <f t="shared" si="5"/>
        <v/>
      </c>
      <c r="J88" s="16"/>
      <c r="K88" s="17" t="str">
        <f t="shared" si="2"/>
        <v/>
      </c>
      <c r="L88" s="18">
        <v>0.0</v>
      </c>
      <c r="M88" s="18">
        <v>0.0</v>
      </c>
      <c r="N88" s="12" t="s">
        <v>22</v>
      </c>
      <c r="O88" s="12" t="s">
        <v>275</v>
      </c>
      <c r="P88" s="12" t="s">
        <v>149</v>
      </c>
      <c r="Q88" s="19" t="s">
        <v>133</v>
      </c>
      <c r="R88" s="12" t="s">
        <v>288</v>
      </c>
      <c r="S88" s="20" t="str">
        <f>IFERROR(__xludf.DUMMYFUNCTION("iferror(REGEXEXTRACT(Q88, ""https?://(?:www\.)?([^./]+\.[^./]+)""), CONCAT(""Supplier "",P88))
"),"justdoorsuk.com")</f>
        <v>justdoorsuk.com</v>
      </c>
      <c r="T88" s="12" t="str">
        <f>IFERROR(__xludf.DUMMYFUNCTION("if(iferror(REGEXEXTRACT(Q88, ""https?://(?:www\.)?([^./]+\.[^./]+)""), ""No"" )= ""No"", ""No"", ""Yes"")"),"Yes")</f>
        <v>Yes</v>
      </c>
    </row>
    <row r="89">
      <c r="A89" s="9"/>
      <c r="B89" s="12" t="s">
        <v>289</v>
      </c>
      <c r="C89" s="11" t="s">
        <v>289</v>
      </c>
      <c r="D89" s="12" t="s">
        <v>290</v>
      </c>
      <c r="E89" s="9"/>
      <c r="F89" s="12" t="s">
        <v>147</v>
      </c>
      <c r="G89" s="13">
        <v>602.5</v>
      </c>
      <c r="H89" s="14" t="s">
        <v>21</v>
      </c>
      <c r="I89" s="15" t="str">
        <f t="shared" si="5"/>
        <v/>
      </c>
      <c r="J89" s="16"/>
      <c r="K89" s="17" t="str">
        <f t="shared" si="2"/>
        <v/>
      </c>
      <c r="L89" s="18">
        <v>0.0</v>
      </c>
      <c r="M89" s="18">
        <v>0.0</v>
      </c>
      <c r="N89" s="12" t="s">
        <v>22</v>
      </c>
      <c r="O89" s="12" t="s">
        <v>275</v>
      </c>
      <c r="P89" s="12" t="s">
        <v>149</v>
      </c>
      <c r="Q89" s="19" t="s">
        <v>133</v>
      </c>
      <c r="R89" s="12" t="s">
        <v>291</v>
      </c>
      <c r="S89" s="20" t="str">
        <f>IFERROR(__xludf.DUMMYFUNCTION("iferror(REGEXEXTRACT(Q89, ""https?://(?:www\.)?([^./]+\.[^./]+)""), CONCAT(""Supplier "",P89))
"),"justdoorsuk.com")</f>
        <v>justdoorsuk.com</v>
      </c>
      <c r="T89" s="12" t="str">
        <f>IFERROR(__xludf.DUMMYFUNCTION("if(iferror(REGEXEXTRACT(Q89, ""https?://(?:www\.)?([^./]+\.[^./]+)""), ""No"" )= ""No"", ""No"", ""Yes"")"),"Yes")</f>
        <v>Yes</v>
      </c>
    </row>
    <row r="90">
      <c r="A90" s="9"/>
      <c r="B90" s="12" t="s">
        <v>292</v>
      </c>
      <c r="C90" s="11" t="s">
        <v>292</v>
      </c>
      <c r="D90" s="12" t="s">
        <v>293</v>
      </c>
      <c r="E90" s="9"/>
      <c r="F90" s="12" t="s">
        <v>20</v>
      </c>
      <c r="G90" s="13">
        <v>407.5</v>
      </c>
      <c r="H90" s="14" t="s">
        <v>21</v>
      </c>
      <c r="I90" s="13">
        <v>407.5</v>
      </c>
      <c r="J90" s="16"/>
      <c r="K90" s="21">
        <f t="shared" si="2"/>
        <v>0</v>
      </c>
      <c r="L90" s="18">
        <v>0.0</v>
      </c>
      <c r="M90" s="18">
        <v>0.0</v>
      </c>
      <c r="N90" s="12" t="s">
        <v>22</v>
      </c>
      <c r="O90" s="12" t="s">
        <v>294</v>
      </c>
      <c r="P90" s="12" t="s">
        <v>154</v>
      </c>
      <c r="Q90" s="19" t="s">
        <v>295</v>
      </c>
      <c r="R90" s="12" t="s">
        <v>296</v>
      </c>
      <c r="S90" s="20" t="str">
        <f>IFERROR(__xludf.DUMMYFUNCTION("iferror(REGEXEXTRACT(Q90, ""https?://(?:www\.)?([^./]+\.[^./]+)""), CONCAT(""Supplier "",P90))
"),"justdoorsuk.com")</f>
        <v>justdoorsuk.com</v>
      </c>
      <c r="T90" s="12" t="str">
        <f>IFERROR(__xludf.DUMMYFUNCTION("if(iferror(REGEXEXTRACT(Q90, ""https?://(?:www\.)?([^./]+\.[^./]+)""), ""No"" )= ""No"", ""No"", ""Yes"")"),"Yes")</f>
        <v>Yes</v>
      </c>
    </row>
    <row r="91">
      <c r="A91" s="9"/>
      <c r="B91" s="12" t="s">
        <v>297</v>
      </c>
      <c r="C91" s="11" t="s">
        <v>297</v>
      </c>
      <c r="D91" s="12" t="s">
        <v>298</v>
      </c>
      <c r="E91" s="9"/>
      <c r="F91" s="12" t="s">
        <v>20</v>
      </c>
      <c r="G91" s="13">
        <v>8.33</v>
      </c>
      <c r="H91" s="14" t="s">
        <v>21</v>
      </c>
      <c r="I91" s="13">
        <v>8.33</v>
      </c>
      <c r="J91" s="16"/>
      <c r="K91" s="21">
        <f t="shared" si="2"/>
        <v>0</v>
      </c>
      <c r="L91" s="18">
        <v>0.0</v>
      </c>
      <c r="M91" s="18">
        <v>0.0</v>
      </c>
      <c r="N91" s="12" t="s">
        <v>22</v>
      </c>
      <c r="O91" s="9" t="s">
        <v>21</v>
      </c>
      <c r="P91" s="12" t="s">
        <v>154</v>
      </c>
      <c r="Q91" s="19" t="s">
        <v>295</v>
      </c>
      <c r="R91" s="12" t="s">
        <v>299</v>
      </c>
      <c r="S91" s="20" t="str">
        <f>IFERROR(__xludf.DUMMYFUNCTION("iferror(REGEXEXTRACT(Q91, ""https?://(?:www\.)?([^./]+\.[^./]+)""), CONCAT(""Supplier "",P91))
"),"justdoorsuk.com")</f>
        <v>justdoorsuk.com</v>
      </c>
      <c r="T91" s="12" t="str">
        <f>IFERROR(__xludf.DUMMYFUNCTION("if(iferror(REGEXEXTRACT(Q91, ""https?://(?:www\.)?([^./]+\.[^./]+)""), ""No"" )= ""No"", ""No"", ""Yes"")"),"Yes")</f>
        <v>Yes</v>
      </c>
    </row>
    <row r="92">
      <c r="A92" s="9"/>
      <c r="B92" s="12" t="s">
        <v>300</v>
      </c>
      <c r="C92" s="11" t="s">
        <v>300</v>
      </c>
      <c r="D92" s="12" t="s">
        <v>301</v>
      </c>
      <c r="E92" s="9"/>
      <c r="F92" s="12" t="s">
        <v>20</v>
      </c>
      <c r="G92" s="13">
        <v>250.0</v>
      </c>
      <c r="H92" s="14" t="s">
        <v>21</v>
      </c>
      <c r="I92" s="13">
        <v>250.0</v>
      </c>
      <c r="J92" s="16"/>
      <c r="K92" s="21">
        <f t="shared" si="2"/>
        <v>0</v>
      </c>
      <c r="L92" s="18">
        <v>0.0</v>
      </c>
      <c r="M92" s="18">
        <v>0.0</v>
      </c>
      <c r="N92" s="12" t="s">
        <v>22</v>
      </c>
      <c r="O92" s="12" t="s">
        <v>302</v>
      </c>
      <c r="P92" s="12" t="s">
        <v>154</v>
      </c>
      <c r="Q92" s="19" t="s">
        <v>295</v>
      </c>
      <c r="R92" s="12" t="s">
        <v>303</v>
      </c>
      <c r="S92" s="20" t="str">
        <f>IFERROR(__xludf.DUMMYFUNCTION("iferror(REGEXEXTRACT(Q92, ""https?://(?:www\.)?([^./]+\.[^./]+)""), CONCAT(""Supplier "",P92))
"),"justdoorsuk.com")</f>
        <v>justdoorsuk.com</v>
      </c>
      <c r="T92" s="12" t="str">
        <f>IFERROR(__xludf.DUMMYFUNCTION("if(iferror(REGEXEXTRACT(Q92, ""https?://(?:www\.)?([^./]+\.[^./]+)""), ""No"" )= ""No"", ""No"", ""Yes"")"),"Yes")</f>
        <v>Yes</v>
      </c>
    </row>
    <row r="93">
      <c r="A93" s="9"/>
      <c r="B93" s="12" t="s">
        <v>304</v>
      </c>
      <c r="C93" s="11" t="s">
        <v>304</v>
      </c>
      <c r="D93" s="12" t="s">
        <v>305</v>
      </c>
      <c r="E93" s="9"/>
      <c r="F93" s="12" t="s">
        <v>20</v>
      </c>
      <c r="G93" s="13">
        <v>4.0</v>
      </c>
      <c r="H93" s="14" t="s">
        <v>21</v>
      </c>
      <c r="I93" s="13">
        <v>4.0</v>
      </c>
      <c r="J93" s="16"/>
      <c r="K93" s="21">
        <f t="shared" si="2"/>
        <v>0</v>
      </c>
      <c r="L93" s="18">
        <v>0.0</v>
      </c>
      <c r="M93" s="18">
        <v>0.0</v>
      </c>
      <c r="N93" s="12" t="s">
        <v>22</v>
      </c>
      <c r="O93" s="9" t="s">
        <v>21</v>
      </c>
      <c r="P93" s="12" t="s">
        <v>154</v>
      </c>
      <c r="Q93" s="19" t="s">
        <v>25</v>
      </c>
      <c r="R93" s="12" t="s">
        <v>306</v>
      </c>
      <c r="S93" s="20" t="str">
        <f>IFERROR(__xludf.DUMMYFUNCTION("iferror(REGEXEXTRACT(Q93, ""https?://(?:www\.)?([^./]+\.[^./]+)""), CONCAT(""Supplier "",P93))
"),"justdoorsuk.com")</f>
        <v>justdoorsuk.com</v>
      </c>
      <c r="T93" s="12" t="str">
        <f>IFERROR(__xludf.DUMMYFUNCTION("if(iferror(REGEXEXTRACT(Q93, ""https?://(?:www\.)?([^./]+\.[^./]+)""), ""No"" )= ""No"", ""No"", ""Yes"")"),"Yes")</f>
        <v>Yes</v>
      </c>
    </row>
    <row r="94">
      <c r="A94" s="9"/>
      <c r="B94" s="12" t="s">
        <v>307</v>
      </c>
      <c r="C94" s="11" t="s">
        <v>307</v>
      </c>
      <c r="D94" s="12" t="s">
        <v>308</v>
      </c>
      <c r="E94" s="9"/>
      <c r="F94" s="12" t="s">
        <v>20</v>
      </c>
      <c r="G94" s="13">
        <v>407.5</v>
      </c>
      <c r="H94" s="14" t="s">
        <v>21</v>
      </c>
      <c r="I94" s="13">
        <v>407.5</v>
      </c>
      <c r="J94" s="16"/>
      <c r="K94" s="21">
        <f t="shared" si="2"/>
        <v>0</v>
      </c>
      <c r="L94" s="18">
        <v>0.0</v>
      </c>
      <c r="M94" s="18">
        <v>0.0</v>
      </c>
      <c r="N94" s="12" t="s">
        <v>22</v>
      </c>
      <c r="O94" s="12" t="s">
        <v>309</v>
      </c>
      <c r="P94" s="12" t="s">
        <v>154</v>
      </c>
      <c r="Q94" s="19" t="s">
        <v>310</v>
      </c>
      <c r="R94" s="12" t="s">
        <v>311</v>
      </c>
      <c r="S94" s="20" t="str">
        <f>IFERROR(__xludf.DUMMYFUNCTION("iferror(REGEXEXTRACT(Q94, ""https?://(?:www\.)?([^./]+\.[^./]+)""), CONCAT(""Supplier "",P94))
"),"justdoorsuk.com")</f>
        <v>justdoorsuk.com</v>
      </c>
      <c r="T94" s="12" t="str">
        <f>IFERROR(__xludf.DUMMYFUNCTION("if(iferror(REGEXEXTRACT(Q94, ""https?://(?:www\.)?([^./]+\.[^./]+)""), ""No"" )= ""No"", ""No"", ""Yes"")"),"Yes")</f>
        <v>Yes</v>
      </c>
    </row>
    <row r="95">
      <c r="A95" s="9"/>
      <c r="B95" s="12" t="s">
        <v>312</v>
      </c>
      <c r="C95" s="11" t="s">
        <v>312</v>
      </c>
      <c r="D95" s="12" t="s">
        <v>313</v>
      </c>
      <c r="E95" s="9"/>
      <c r="F95" s="12" t="s">
        <v>20</v>
      </c>
      <c r="G95" s="13">
        <v>544.0</v>
      </c>
      <c r="H95" s="14" t="s">
        <v>21</v>
      </c>
      <c r="I95" s="13">
        <v>544.0</v>
      </c>
      <c r="J95" s="16"/>
      <c r="K95" s="21">
        <f t="shared" si="2"/>
        <v>0</v>
      </c>
      <c r="L95" s="18">
        <v>0.0</v>
      </c>
      <c r="M95" s="18">
        <v>0.0</v>
      </c>
      <c r="N95" s="12" t="s">
        <v>22</v>
      </c>
      <c r="O95" s="12" t="s">
        <v>314</v>
      </c>
      <c r="P95" s="12" t="s">
        <v>154</v>
      </c>
      <c r="Q95" s="19" t="s">
        <v>315</v>
      </c>
      <c r="R95" s="12" t="s">
        <v>316</v>
      </c>
      <c r="S95" s="20" t="str">
        <f>IFERROR(__xludf.DUMMYFUNCTION("iferror(REGEXEXTRACT(Q95, ""https?://(?:www\.)?([^./]+\.[^./]+)""), CONCAT(""Supplier "",P95))
"),"justdoorsuk.com")</f>
        <v>justdoorsuk.com</v>
      </c>
      <c r="T95" s="12" t="str">
        <f>IFERROR(__xludf.DUMMYFUNCTION("if(iferror(REGEXEXTRACT(Q95, ""https?://(?:www\.)?([^./]+\.[^./]+)""), ""No"" )= ""No"", ""No"", ""Yes"")"),"Yes")</f>
        <v>Yes</v>
      </c>
    </row>
    <row r="96">
      <c r="A96" s="9"/>
      <c r="B96" s="12" t="s">
        <v>317</v>
      </c>
      <c r="C96" s="11" t="s">
        <v>317</v>
      </c>
      <c r="D96" s="12" t="s">
        <v>318</v>
      </c>
      <c r="E96" s="9"/>
      <c r="F96" s="12" t="s">
        <v>20</v>
      </c>
      <c r="G96" s="13">
        <v>666.67</v>
      </c>
      <c r="H96" s="14" t="s">
        <v>21</v>
      </c>
      <c r="I96" s="15" t="str">
        <f t="shared" ref="I96:I100" si="6">IF(J96="","",J96/1.2)</f>
        <v/>
      </c>
      <c r="J96" s="16"/>
      <c r="K96" s="17" t="str">
        <f t="shared" si="2"/>
        <v/>
      </c>
      <c r="L96" s="18">
        <v>0.0</v>
      </c>
      <c r="M96" s="18">
        <v>0.0</v>
      </c>
      <c r="N96" s="12" t="s">
        <v>22</v>
      </c>
      <c r="O96" s="12" t="s">
        <v>319</v>
      </c>
      <c r="P96" s="12" t="s">
        <v>154</v>
      </c>
      <c r="Q96" s="19" t="s">
        <v>320</v>
      </c>
      <c r="R96" s="12" t="s">
        <v>321</v>
      </c>
      <c r="S96" s="20" t="str">
        <f>IFERROR(__xludf.DUMMYFUNCTION("iferror(REGEXEXTRACT(Q96, ""https?://(?:www\.)?([^./]+\.[^./]+)""), CONCAT(""Supplier "",P96))
"),"justdoorsuk.com")</f>
        <v>justdoorsuk.com</v>
      </c>
      <c r="T96" s="12" t="str">
        <f>IFERROR(__xludf.DUMMYFUNCTION("if(iferror(REGEXEXTRACT(Q96, ""https?://(?:www\.)?([^./]+\.[^./]+)""), ""No"" )= ""No"", ""No"", ""Yes"")"),"Yes")</f>
        <v>Yes</v>
      </c>
    </row>
    <row r="97">
      <c r="A97" s="9"/>
      <c r="B97" s="12" t="s">
        <v>322</v>
      </c>
      <c r="C97" s="11" t="s">
        <v>322</v>
      </c>
      <c r="D97" s="12" t="s">
        <v>323</v>
      </c>
      <c r="E97" s="9"/>
      <c r="F97" s="12" t="s">
        <v>20</v>
      </c>
      <c r="G97" s="13">
        <v>533.33</v>
      </c>
      <c r="H97" s="14" t="s">
        <v>21</v>
      </c>
      <c r="I97" s="15" t="str">
        <f t="shared" si="6"/>
        <v/>
      </c>
      <c r="J97" s="16"/>
      <c r="K97" s="17" t="str">
        <f t="shared" si="2"/>
        <v/>
      </c>
      <c r="L97" s="18">
        <v>0.0</v>
      </c>
      <c r="M97" s="18">
        <v>0.0</v>
      </c>
      <c r="N97" s="12" t="s">
        <v>22</v>
      </c>
      <c r="O97" s="12" t="s">
        <v>324</v>
      </c>
      <c r="P97" s="12" t="s">
        <v>154</v>
      </c>
      <c r="Q97" s="19" t="s">
        <v>325</v>
      </c>
      <c r="R97" s="12" t="s">
        <v>326</v>
      </c>
      <c r="S97" s="20" t="str">
        <f>IFERROR(__xludf.DUMMYFUNCTION("iferror(REGEXEXTRACT(Q97, ""https?://(?:www\.)?([^./]+\.[^./]+)""), CONCAT(""Supplier "",P97))
"),"justdoorsuk.com")</f>
        <v>justdoorsuk.com</v>
      </c>
      <c r="T97" s="12" t="str">
        <f>IFERROR(__xludf.DUMMYFUNCTION("if(iferror(REGEXEXTRACT(Q97, ""https?://(?:www\.)?([^./]+\.[^./]+)""), ""No"" )= ""No"", ""No"", ""Yes"")"),"Yes")</f>
        <v>Yes</v>
      </c>
    </row>
    <row r="98">
      <c r="A98" s="9"/>
      <c r="B98" s="12" t="s">
        <v>327</v>
      </c>
      <c r="C98" s="11" t="s">
        <v>327</v>
      </c>
      <c r="D98" s="12" t="s">
        <v>328</v>
      </c>
      <c r="E98" s="9"/>
      <c r="F98" s="12" t="s">
        <v>147</v>
      </c>
      <c r="G98" s="13">
        <v>490.83</v>
      </c>
      <c r="H98" s="14" t="s">
        <v>21</v>
      </c>
      <c r="I98" s="15" t="str">
        <f t="shared" si="6"/>
        <v/>
      </c>
      <c r="J98" s="16"/>
      <c r="K98" s="17" t="str">
        <f t="shared" si="2"/>
        <v/>
      </c>
      <c r="L98" s="18">
        <v>0.0</v>
      </c>
      <c r="M98" s="18">
        <v>0.0</v>
      </c>
      <c r="N98" s="12" t="s">
        <v>22</v>
      </c>
      <c r="O98" s="12" t="s">
        <v>329</v>
      </c>
      <c r="P98" s="12" t="s">
        <v>149</v>
      </c>
      <c r="Q98" s="19" t="s">
        <v>330</v>
      </c>
      <c r="R98" s="12" t="s">
        <v>331</v>
      </c>
      <c r="S98" s="20" t="str">
        <f>IFERROR(__xludf.DUMMYFUNCTION("iferror(REGEXEXTRACT(Q98, ""https?://(?:www\.)?([^./]+\.[^./]+)""), CONCAT(""Supplier "",P98))
"),"justdoorsuk.com")</f>
        <v>justdoorsuk.com</v>
      </c>
      <c r="T98" s="12" t="str">
        <f>IFERROR(__xludf.DUMMYFUNCTION("if(iferror(REGEXEXTRACT(Q98, ""https?://(?:www\.)?([^./]+\.[^./]+)""), ""No"" )= ""No"", ""No"", ""Yes"")"),"Yes")</f>
        <v>Yes</v>
      </c>
    </row>
    <row r="99">
      <c r="A99" s="9"/>
      <c r="B99" s="12" t="s">
        <v>332</v>
      </c>
      <c r="C99" s="11" t="s">
        <v>332</v>
      </c>
      <c r="D99" s="12" t="s">
        <v>333</v>
      </c>
      <c r="E99" s="9"/>
      <c r="F99" s="12" t="s">
        <v>147</v>
      </c>
      <c r="G99" s="13">
        <v>808.33</v>
      </c>
      <c r="H99" s="14" t="s">
        <v>21</v>
      </c>
      <c r="I99" s="15" t="str">
        <f t="shared" si="6"/>
        <v/>
      </c>
      <c r="J99" s="16"/>
      <c r="K99" s="17" t="str">
        <f t="shared" si="2"/>
        <v/>
      </c>
      <c r="L99" s="18">
        <v>0.0</v>
      </c>
      <c r="M99" s="18">
        <v>0.0</v>
      </c>
      <c r="N99" s="12" t="s">
        <v>22</v>
      </c>
      <c r="O99" s="12" t="s">
        <v>334</v>
      </c>
      <c r="P99" s="12" t="s">
        <v>149</v>
      </c>
      <c r="Q99" s="19" t="s">
        <v>335</v>
      </c>
      <c r="R99" s="12" t="s">
        <v>336</v>
      </c>
      <c r="S99" s="20" t="str">
        <f>IFERROR(__xludf.DUMMYFUNCTION("iferror(REGEXEXTRACT(Q99, ""https?://(?:www\.)?([^./]+\.[^./]+)""), CONCAT(""Supplier "",P99))
"),"justdoorsuk.com")</f>
        <v>justdoorsuk.com</v>
      </c>
      <c r="T99" s="12" t="str">
        <f>IFERROR(__xludf.DUMMYFUNCTION("if(iferror(REGEXEXTRACT(Q99, ""https?://(?:www\.)?([^./]+\.[^./]+)""), ""No"" )= ""No"", ""No"", ""Yes"")"),"Yes")</f>
        <v>Yes</v>
      </c>
    </row>
    <row r="100">
      <c r="A100" s="9"/>
      <c r="B100" s="12" t="s">
        <v>337</v>
      </c>
      <c r="C100" s="11" t="s">
        <v>337</v>
      </c>
      <c r="D100" s="12" t="s">
        <v>338</v>
      </c>
      <c r="E100" s="9"/>
      <c r="F100" s="12" t="s">
        <v>147</v>
      </c>
      <c r="G100" s="13">
        <v>908.33</v>
      </c>
      <c r="H100" s="14" t="s">
        <v>21</v>
      </c>
      <c r="I100" s="15" t="str">
        <f t="shared" si="6"/>
        <v/>
      </c>
      <c r="J100" s="16"/>
      <c r="K100" s="17" t="str">
        <f t="shared" si="2"/>
        <v/>
      </c>
      <c r="L100" s="18">
        <v>0.0</v>
      </c>
      <c r="M100" s="18">
        <v>0.0</v>
      </c>
      <c r="N100" s="12" t="s">
        <v>22</v>
      </c>
      <c r="O100" s="12" t="s">
        <v>339</v>
      </c>
      <c r="P100" s="12" t="s">
        <v>149</v>
      </c>
      <c r="Q100" s="19" t="s">
        <v>335</v>
      </c>
      <c r="R100" s="12" t="s">
        <v>340</v>
      </c>
      <c r="S100" s="20" t="str">
        <f>IFERROR(__xludf.DUMMYFUNCTION("iferror(REGEXEXTRACT(Q100, ""https?://(?:www\.)?([^./]+\.[^./]+)""), CONCAT(""Supplier "",P100))
"),"justdoorsuk.com")</f>
        <v>justdoorsuk.com</v>
      </c>
      <c r="T100" s="12" t="str">
        <f>IFERROR(__xludf.DUMMYFUNCTION("if(iferror(REGEXEXTRACT(Q100, ""https?://(?:www\.)?([^./]+\.[^./]+)""), ""No"" )= ""No"", ""No"", ""Yes"")"),"Yes")</f>
        <v>Yes</v>
      </c>
    </row>
  </sheetData>
  <hyperlinks>
    <hyperlink r:id="rId1" ref="Q2"/>
    <hyperlink r:id="rId2" ref="Q3"/>
    <hyperlink r:id="rId3" ref="Q10"/>
    <hyperlink r:id="rId4" ref="Q25"/>
    <hyperlink r:id="rId5" ref="Q47"/>
  </hyperlinks>
  <drawing r:id="rId6"/>
</worksheet>
</file>