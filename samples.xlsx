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Sheet1!$A$1:$Z$24</definedName>
  </definedNames>
  <calcPr/>
</workbook>
</file>

<file path=xl/sharedStrings.xml><?xml version="1.0" encoding="utf-8"?>
<sst xmlns="http://schemas.openxmlformats.org/spreadsheetml/2006/main" count="161" uniqueCount="113">
  <si>
    <t>Code</t>
  </si>
  <si>
    <t>Description</t>
  </si>
  <si>
    <t>Type</t>
  </si>
  <si>
    <t xml:space="preserve">Unit
</t>
  </si>
  <si>
    <t>Rate £</t>
  </si>
  <si>
    <t>Extracted Price</t>
  </si>
  <si>
    <t>New Rate (ex VAT)</t>
  </si>
  <si>
    <t>New Rate INCL VAT)</t>
  </si>
  <si>
    <t>% change</t>
  </si>
  <si>
    <t>Discount</t>
  </si>
  <si>
    <t>Wastage</t>
  </si>
  <si>
    <t>Cost Code</t>
  </si>
  <si>
    <t>Supplier Code</t>
  </si>
  <si>
    <t>Supplier</t>
  </si>
  <si>
    <t>URL</t>
  </si>
  <si>
    <t>Comments</t>
  </si>
  <si>
    <t xml:space="preserve">Source
</t>
  </si>
  <si>
    <t>Web</t>
  </si>
  <si>
    <t>Status</t>
  </si>
  <si>
    <t>InApp Comment</t>
  </si>
  <si>
    <t>462449</t>
  </si>
  <si>
    <r>
      <rPr>
        <rFont val="Caxton Bk BT"/>
        <color rgb="FF000000"/>
        <sz val="9.0"/>
      </rPr>
      <t>Sight Glass Kit Ideal 078881</t>
    </r>
  </si>
  <si>
    <t>each</t>
  </si>
  <si>
    <t>29</t>
  </si>
  <si>
    <t>380954</t>
  </si>
  <si>
    <t>Mytub</t>
  </si>
  <si>
    <t>https://www.mytub.co.uk/ideal-boilers-ideal-078881-sight-glass-kit-product-380954</t>
  </si>
  <si>
    <t>all below updates Mar 24 ce</t>
  </si>
  <si>
    <t>4718010</t>
  </si>
  <si>
    <r>
      <rPr>
        <rFont val="Caxton Bk BT"/>
        <color rgb="FF000000"/>
        <sz val="9.0"/>
      </rPr>
      <t xml:space="preserve">Kingspan Solar Flat Plate Collector, On Roof Pack, 1 Panel - A Frame, </t>
    </r>
  </si>
  <si>
    <t>512413</t>
  </si>
  <si>
    <t>My Tub</t>
  </si>
  <si>
    <t>https://www.mytub.co.uk/kingspan-cls2108-on-roof-1-pnl-pack-a-frame-product-512413</t>
  </si>
  <si>
    <t xml:space="preserve">Mar 24 updates all below </t>
  </si>
  <si>
    <t>4718011</t>
  </si>
  <si>
    <r>
      <rPr>
        <rFont val="Caxton Bk BT"/>
        <color rgb="FF000000"/>
        <sz val="9.0"/>
      </rPr>
      <t>Kingspan Solar Flat Plate Collector, On Roof Pack, 1 Panel - Pitch Roof,</t>
    </r>
  </si>
  <si>
    <t>512426</t>
  </si>
  <si>
    <t>https://www.mytub.co.uk/kingspan-cls1808-on-roof-1-pnl-pack-std-bkt-product-512426</t>
  </si>
  <si>
    <t>160768</t>
  </si>
  <si>
    <t>4718012</t>
  </si>
  <si>
    <r>
      <rPr>
        <rFont val="Caxton Bk BT"/>
        <color rgb="FF000000"/>
        <sz val="9.0"/>
      </rPr>
      <t xml:space="preserve">Kingspan Solar Flat Plate Collector, On Roof Pack, 2 Panel - A Frame, </t>
    </r>
  </si>
  <si>
    <t>512415</t>
  </si>
  <si>
    <t>https://www.mytub.co.uk/kingspan-cls2108-on-roof-2-pnl-pack-a-frame-product-512415</t>
  </si>
  <si>
    <t>160769</t>
  </si>
  <si>
    <t>4718013</t>
  </si>
  <si>
    <r>
      <rPr>
        <rFont val="Caxton Bk BT"/>
        <color rgb="FF000000"/>
        <sz val="9.0"/>
      </rPr>
      <t xml:space="preserve">Kingspan Solar Flat Plate Collector, On Roof E/W Pack, 2 Panel - A Frame, </t>
    </r>
  </si>
  <si>
    <t>512431</t>
  </si>
  <si>
    <t>https://www.mytub.co.uk/kingspan-cls1808-on-roof-2-pnl-a-frame-e-w-product-512431</t>
  </si>
  <si>
    <t>160776</t>
  </si>
  <si>
    <t>4718014</t>
  </si>
  <si>
    <r>
      <rPr>
        <rFont val="Caxton Bk BT"/>
        <color rgb="FF000000"/>
        <sz val="9.0"/>
      </rPr>
      <t xml:space="preserve">Kingspan Solar Flat Plate Collector, On Roof Pack, 2 Panel - Pitch Roof, </t>
    </r>
  </si>
  <si>
    <t>512414</t>
  </si>
  <si>
    <t>https://www.mytub.co.uk/kingspan-cls2108-on-roof-2-pnl-pack-std-bkt-product-512414</t>
  </si>
  <si>
    <t>160770</t>
  </si>
  <si>
    <t>4718015</t>
  </si>
  <si>
    <r>
      <rPr>
        <rFont val="Caxton Bk BT"/>
        <color rgb="FF000000"/>
        <sz val="9.0"/>
      </rPr>
      <t xml:space="preserve">Kingspan Solar Flat Plate Collector, On Roof Pack, 3Panel - Pitch Roof, </t>
    </r>
  </si>
  <si>
    <t>512416</t>
  </si>
  <si>
    <t>https://www.mytub.co.uk/kingspan-cls2108-on-roof-3-pnl-pack-std-bkt-product-512416</t>
  </si>
  <si>
    <t>160771</t>
  </si>
  <si>
    <t>4718016</t>
  </si>
  <si>
    <r>
      <rPr>
        <rFont val="Caxton Bk BT"/>
        <color rgb="FF000000"/>
        <sz val="9.0"/>
      </rPr>
      <t xml:space="preserve">Kingspan Solar Flat Plate Collector, On Roof E/W Pack, 2 Panel - Pitch Roof, </t>
    </r>
  </si>
  <si>
    <t>512417</t>
  </si>
  <si>
    <t>https://www.mytub.co.uk/kingspan-cls2108-on-roof-2-pnl-std-bkt-e-w-product-512417</t>
  </si>
  <si>
    <t>160777</t>
  </si>
  <si>
    <t>651138</t>
  </si>
  <si>
    <r>
      <rPr>
        <rFont val="Caxton Bk BT"/>
        <color rgb="FF000000"/>
        <sz val="9.0"/>
      </rPr>
      <t>Aladdin Easyfit isolator starter pack 22mm</t>
    </r>
  </si>
  <si>
    <t>nr</t>
  </si>
  <si>
    <t/>
  </si>
  <si>
    <t>649JY</t>
  </si>
  <si>
    <t>SCREWFIX DIRECT</t>
  </si>
  <si>
    <t>https://www.screwfix.com/p/aladdin-easyfit-isolator-starter-pack-22mm/649jy</t>
  </si>
  <si>
    <t>BMC1006</t>
  </si>
  <si>
    <r>
      <rPr>
        <rFont val="Caxton Bk BT"/>
        <color rgb="FF000000"/>
        <sz val="9.0"/>
      </rPr>
      <t>Flashband 150mm wide</t>
    </r>
  </si>
  <si>
    <t>m</t>
  </si>
  <si>
    <t>07</t>
  </si>
  <si>
    <t>55009</t>
  </si>
  <si>
    <t>Screwfix</t>
  </si>
  <si>
    <t>https://www.screwfix.com/p/bostik-flashband-grey-10m-x-150mm/55009</t>
  </si>
  <si>
    <t xml:space="preserve">10m roll </t>
  </si>
  <si>
    <t>BMF6005</t>
  </si>
  <si>
    <r>
      <rPr>
        <rFont val="Caxton Bk BT"/>
        <color rgb="FF000000"/>
        <sz val="9.0"/>
      </rPr>
      <t>Soudal Expanding foam gun grade</t>
    </r>
  </si>
  <si>
    <t>litre</t>
  </si>
  <si>
    <t>24</t>
  </si>
  <si>
    <t>5026D</t>
  </si>
  <si>
    <t>https://www.screwfix.com/p/soudal-soudafoam-expanding-foam-gun-grade-750ml/5026d</t>
  </si>
  <si>
    <t>BMV5001</t>
  </si>
  <si>
    <r>
      <rPr>
        <rFont val="Caxton Bk BT"/>
        <color rgb="FF000000"/>
        <sz val="9.0"/>
      </rPr>
      <t>Bulkhead light fittings - Thorn LARA VARIO Flex 11.5W LED Tri-Colour Bulkhead White with Microwave Sensor</t>
    </r>
  </si>
  <si>
    <t>12</t>
  </si>
  <si>
    <t>2731-8409</t>
  </si>
  <si>
    <t>CEF</t>
  </si>
  <si>
    <t>https://www.cef.co.uk/catalogue/products/5117775-lara-vario-flex-11-5w-led-tri-colour-bulkhead-white-with-microwave-sensor</t>
  </si>
  <si>
    <t xml:space="preserve">2707        Mar 23 Call company to obtain prices : 0141 882 3262   speak to Duncan  or email info@coughtrie   all prices ex vat    </t>
  </si>
  <si>
    <t>BMV9001</t>
  </si>
  <si>
    <r>
      <rPr>
        <rFont val="Caxton Bk BT"/>
        <color rgb="FF000000"/>
        <sz val="9.0"/>
      </rPr>
      <t>Earthing installation components - labelled bonding clamps</t>
    </r>
  </si>
  <si>
    <t>0100-3513</t>
  </si>
  <si>
    <t>https://www.cef.co.uk/catalogue/products/23901-speedy-earth-clamp-pack-of-10</t>
  </si>
  <si>
    <t xml:space="preserve">Code item 3000969 not found Nov 23   new item added and code for equivelent and similar price Niglon Speedy Earth Clamp (Pack 10) (with printed metal tag label) Part Code: SE10  Stock Code: 0100-3513 Nov price £10.70  ex vat pack 10 
</t>
  </si>
  <si>
    <t>ELEC31121</t>
  </si>
  <si>
    <r>
      <rPr>
        <rFont val="Caxton Bk BT"/>
        <color rgb="FF000000"/>
        <sz val="9.0"/>
      </rPr>
      <t xml:space="preserve">Eaton Contact Grade 2 Door </t>
    </r>
  </si>
  <si>
    <t>WDC02</t>
  </si>
  <si>
    <t>www.superlecdirect.com</t>
  </si>
  <si>
    <t>https://www.superlecdirect.com/scantronic-wired-door-contact-wdc02/?hsa_acc=5149061780&amp;hsa_cam=388664136&amp;hsa_grp=1235851354362570&amp;hsa_ad=&amp;hsa_src=o&amp;hsa_tgt=pla-4580840335361410&amp;hsa_kw=&amp;hsa_mt=e&amp;hsa_net=adwords&amp;hsa_ver=3&amp;msclkid=2bee5dd2e90217cab28c3bd7b0deb09c&amp;utm_source=bing&amp;utm_medium=cpc&amp;utm_campaign=CJ%20-%20Bing%20Shopping%20(All%20Products)&amp;utm_term=4580840335361410&amp;utm_content=All%20Products</t>
  </si>
  <si>
    <t>ELEC6941280</t>
  </si>
  <si>
    <r>
      <rPr>
        <rFont val="Caxton Bk BT"/>
        <color rgb="FF000000"/>
        <sz val="9.0"/>
      </rPr>
      <t>Cable 2 Core SWA XLPE/LSZH BS6724 - 25mm</t>
    </r>
  </si>
  <si>
    <t>LSF2X25</t>
  </si>
  <si>
    <t>Superlec</t>
  </si>
  <si>
    <t>https://www.superlecdirect.com/bs6724-25mm-2core-xlpe-swa-lszh-cable-harmonised-black/</t>
  </si>
  <si>
    <t xml:space="preserve">PRICED AND used Harmonised colour May 23 as no details in description if numbered or if coloured cores </t>
  </si>
  <si>
    <t>ELEC6941281</t>
  </si>
  <si>
    <r>
      <rPr>
        <rFont val="Caxton Bk BT"/>
        <color rgb="FF000000"/>
        <sz val="9.0"/>
      </rPr>
      <t>Cable 3 Core SWA XLPE/LSZH BS6724 - 25mm</t>
    </r>
  </si>
  <si>
    <t>LSF3X25</t>
  </si>
  <si>
    <t>https://www.superlecdirect.com/bs6724-25mm-3core-xlpe-swa-lszh-cable-harmonised-black/</t>
  </si>
  <si>
    <t xml:space="preserve"> no codes shown in Supllier code May 23 new code added May 23 Harmonised colour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</si>
</sst>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10409]#,##0.00;\(#,##0.00\)"/>
  </numFmts>
  <fonts count="9">
    <font>
      <sz val="10.0"/>
      <color rgb="FF000000"/>
      <name val="Arial"/>
      <scheme val="minor"/>
    </font>
    <font>
      <sz val="11.0"/>
      <color theme="1"/>
      <name val="Calibri"/>
    </font>
    <font>
      <b/>
      <sz val="8.0"/>
      <color theme="1"/>
      <name val="Arial"/>
    </font>
    <font>
      <b/>
      <sz val="8.0"/>
      <color theme="1"/>
      <name val="Caxton Bk BT"/>
    </font>
    <font>
      <sz val="9.0"/>
      <color theme="1"/>
      <name val="Caxton Bk BT"/>
    </font>
    <font>
      <u/>
      <sz val="11.0"/>
      <color rgb="FF0000FF"/>
      <name val="Calibri"/>
    </font>
    <font>
      <u/>
      <sz val="9.0"/>
      <color rgb="FF0000FF"/>
      <name val="Caxton Bk BT"/>
    </font>
    <font>
      <u/>
      <sz val="9.0"/>
      <color theme="1"/>
      <name val="Caxton Bk BT"/>
    </font>
    <font>
      <sz val="9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8CCE4"/>
        <bgColor rgb="FFB8CCE4"/>
      </patternFill>
    </fill>
    <fill>
      <patternFill patternType="solid">
        <fgColor rgb="FF00FF00"/>
        <bgColor rgb="FF00FF00"/>
      </patternFill>
    </fill>
    <fill>
      <patternFill patternType="solid">
        <fgColor rgb="FFFDE9D9"/>
        <bgColor rgb="FFFDE9D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top"/>
    </xf>
    <xf borderId="1" fillId="2" fontId="2" numFmtId="0" xfId="0" applyAlignment="1" applyBorder="1" applyFont="1">
      <alignment shrinkToFit="0" vertical="top" wrapText="1"/>
    </xf>
    <xf borderId="0" fillId="3" fontId="3" numFmtId="0" xfId="0" applyAlignment="1" applyFill="1" applyFont="1">
      <alignment shrinkToFit="0" vertical="top" wrapText="1"/>
    </xf>
    <xf borderId="1" fillId="2" fontId="3" numFmtId="0" xfId="0" applyAlignment="1" applyBorder="1" applyFont="1">
      <alignment shrinkToFit="0" vertical="top" wrapText="1"/>
    </xf>
    <xf borderId="1" fillId="2" fontId="2" numFmtId="164" xfId="0" applyAlignment="1" applyBorder="1" applyFont="1" applyNumberFormat="1">
      <alignment horizontal="right" shrinkToFit="0" vertical="top" wrapText="1"/>
    </xf>
    <xf borderId="0" fillId="3" fontId="2" numFmtId="164" xfId="0" applyAlignment="1" applyFont="1" applyNumberFormat="1">
      <alignment horizontal="right" shrinkToFit="0" vertical="top" wrapText="1"/>
    </xf>
    <xf borderId="1" fillId="2" fontId="2" numFmtId="164" xfId="0" applyAlignment="1" applyBorder="1" applyFont="1" applyNumberFormat="1">
      <alignment shrinkToFit="0" vertical="top" wrapText="1"/>
    </xf>
    <xf borderId="1" fillId="2" fontId="3" numFmtId="9" xfId="0" applyAlignment="1" applyBorder="1" applyFont="1" applyNumberFormat="1">
      <alignment shrinkToFit="0" vertical="top" wrapText="1"/>
    </xf>
    <xf borderId="1" fillId="2" fontId="3" numFmtId="0" xfId="0" applyAlignment="1" applyBorder="1" applyFont="1">
      <alignment horizontal="right" shrinkToFit="0" vertical="top" wrapText="1"/>
    </xf>
    <xf borderId="0" fillId="0" fontId="2" numFmtId="0" xfId="0" applyAlignment="1" applyFont="1">
      <alignment shrinkToFit="0" vertical="top" wrapText="1"/>
    </xf>
    <xf borderId="0" fillId="0" fontId="1" numFmtId="0" xfId="0" applyAlignment="1" applyFont="1">
      <alignment vertical="top"/>
    </xf>
    <xf borderId="0" fillId="0" fontId="4" numFmtId="0" xfId="0" applyAlignment="1" applyFont="1">
      <alignment shrinkToFit="0" vertical="top" wrapText="1"/>
    </xf>
    <xf borderId="0" fillId="3" fontId="4" numFmtId="0" xfId="0" applyAlignment="1" applyFont="1">
      <alignment shrinkToFit="0" vertical="top" wrapText="1"/>
    </xf>
    <xf borderId="0" fillId="0" fontId="4" numFmtId="164" xfId="0" applyAlignment="1" applyFont="1" applyNumberFormat="1">
      <alignment horizontal="right" shrinkToFit="0" vertical="top" wrapText="1"/>
    </xf>
    <xf borderId="0" fillId="3" fontId="4" numFmtId="164" xfId="0" applyAlignment="1" applyFont="1" applyNumberFormat="1">
      <alignment horizontal="right" shrinkToFit="0" vertical="top" wrapText="1"/>
    </xf>
    <xf borderId="0" fillId="0" fontId="1" numFmtId="164" xfId="0" applyAlignment="1" applyFont="1" applyNumberFormat="1">
      <alignment vertical="top"/>
    </xf>
    <xf borderId="1" fillId="4" fontId="1" numFmtId="164" xfId="0" applyAlignment="1" applyBorder="1" applyFill="1" applyFont="1" applyNumberFormat="1">
      <alignment vertical="top"/>
    </xf>
    <xf borderId="0" fillId="0" fontId="1" numFmtId="9" xfId="0" applyAlignment="1" applyFont="1" applyNumberFormat="1">
      <alignment vertical="top"/>
    </xf>
    <xf borderId="0" fillId="0" fontId="4" numFmtId="0" xfId="0" applyAlignment="1" applyFont="1">
      <alignment horizontal="right" shrinkToFit="0" vertical="top" wrapText="1"/>
    </xf>
    <xf borderId="0" fillId="0" fontId="5" numFmtId="0" xfId="0" applyAlignment="1" applyFont="1">
      <alignment shrinkToFit="0" vertical="top" wrapText="1"/>
    </xf>
    <xf borderId="0" fillId="0" fontId="6" numFmtId="0" xfId="0" applyAlignment="1" applyFont="1">
      <alignment shrinkToFit="0" vertical="top" wrapText="1"/>
    </xf>
    <xf borderId="0" fillId="3" fontId="1" numFmtId="164" xfId="0" applyAlignment="1" applyFont="1" applyNumberFormat="1">
      <alignment vertical="top"/>
    </xf>
    <xf borderId="0" fillId="0" fontId="4" numFmtId="9" xfId="0" applyAlignment="1" applyFont="1" applyNumberFormat="1">
      <alignment horizontal="right" shrinkToFit="0" vertical="top" wrapText="1"/>
    </xf>
    <xf borderId="0" fillId="0" fontId="7" numFmtId="0" xfId="0" applyAlignment="1" applyFont="1">
      <alignment shrinkToFit="0" vertical="top" wrapText="1"/>
    </xf>
    <xf borderId="0" fillId="0" fontId="8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ef.co.uk/catalogue/products/23901-speedy-earth-clamp-pack-of-10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3" t="s">
        <v>0</v>
      </c>
      <c r="D1" s="4" t="s">
        <v>1</v>
      </c>
      <c r="E1" s="2" t="s">
        <v>2</v>
      </c>
      <c r="F1" s="4" t="s">
        <v>3</v>
      </c>
      <c r="G1" s="5" t="s">
        <v>4</v>
      </c>
      <c r="H1" s="6" t="s">
        <v>5</v>
      </c>
      <c r="I1" s="7" t="s">
        <v>6</v>
      </c>
      <c r="J1" s="7" t="s">
        <v>7</v>
      </c>
      <c r="K1" s="8" t="s">
        <v>8</v>
      </c>
      <c r="L1" s="9" t="s">
        <v>9</v>
      </c>
      <c r="M1" s="9" t="s">
        <v>10</v>
      </c>
      <c r="N1" s="4" t="s">
        <v>11</v>
      </c>
      <c r="O1" s="4" t="s">
        <v>12</v>
      </c>
      <c r="P1" s="4" t="s">
        <v>13</v>
      </c>
      <c r="Q1" s="2" t="s">
        <v>14</v>
      </c>
      <c r="R1" s="4" t="s">
        <v>15</v>
      </c>
      <c r="S1" s="10" t="s">
        <v>16</v>
      </c>
      <c r="T1" s="10" t="s">
        <v>17</v>
      </c>
      <c r="U1" s="10" t="s">
        <v>18</v>
      </c>
      <c r="V1" s="11"/>
      <c r="W1" s="10" t="s">
        <v>19</v>
      </c>
    </row>
    <row r="2" hidden="1">
      <c r="A2" s="11"/>
      <c r="B2" s="12" t="s">
        <v>20</v>
      </c>
      <c r="C2" s="13">
        <v>462449.0</v>
      </c>
      <c r="D2" s="12" t="s">
        <v>21</v>
      </c>
      <c r="E2" s="11"/>
      <c r="F2" s="12" t="s">
        <v>22</v>
      </c>
      <c r="G2" s="14">
        <v>25.23</v>
      </c>
      <c r="H2" s="15">
        <v>25.23</v>
      </c>
      <c r="I2" s="16" t="str">
        <f t="shared" ref="I2:I10" si="1">IF(J2="","",J2/1.2)</f>
        <v/>
      </c>
      <c r="J2" s="17"/>
      <c r="K2" s="18" t="str">
        <f t="shared" ref="K2:K12" si="2">IF(I2="","",(SUM(I2-G2)/G2))</f>
        <v/>
      </c>
      <c r="L2" s="19">
        <v>0.0</v>
      </c>
      <c r="M2" s="19">
        <v>0.0</v>
      </c>
      <c r="N2" s="12" t="s">
        <v>23</v>
      </c>
      <c r="O2" s="12" t="s">
        <v>24</v>
      </c>
      <c r="P2" s="12" t="s">
        <v>25</v>
      </c>
      <c r="Q2" s="20" t="s">
        <v>26</v>
      </c>
      <c r="R2" s="12" t="s">
        <v>27</v>
      </c>
      <c r="S2" s="21" t="str">
        <f>IFERROR(__xludf.DUMMYFUNCTION("iferror(REGEXEXTRACT(Q2, ""https?://(?:www\.)?([^./]+\.[^./]+)""), CONCAT(""Supplier "",P2))
"),"mytub.co")</f>
        <v>mytub.co</v>
      </c>
      <c r="T2" s="12" t="str">
        <f>IFERROR(__xludf.DUMMYFUNCTION("if(iferror(REGEXEXTRACT(Q2, ""https?://(?:www\.)?([^./]+\.[^./]+)""), ""No"" )= ""No"", ""No"", ""Yes"")"),"Yes")</f>
        <v>Yes</v>
      </c>
      <c r="U2" s="11"/>
      <c r="V2" s="11"/>
      <c r="W2" s="11"/>
    </row>
    <row r="3" hidden="1">
      <c r="A3" s="11"/>
      <c r="B3" s="12" t="s">
        <v>28</v>
      </c>
      <c r="C3" s="13">
        <v>4718010.0</v>
      </c>
      <c r="D3" s="12" t="s">
        <v>29</v>
      </c>
      <c r="E3" s="11"/>
      <c r="F3" s="12" t="s">
        <v>22</v>
      </c>
      <c r="G3" s="14">
        <v>1758.81</v>
      </c>
      <c r="H3" s="15">
        <v>1758.81</v>
      </c>
      <c r="I3" s="16" t="str">
        <f t="shared" si="1"/>
        <v/>
      </c>
      <c r="J3" s="17"/>
      <c r="K3" s="18" t="str">
        <f t="shared" si="2"/>
        <v/>
      </c>
      <c r="L3" s="19">
        <v>0.0</v>
      </c>
      <c r="M3" s="19">
        <v>0.0</v>
      </c>
      <c r="N3" s="12" t="s">
        <v>23</v>
      </c>
      <c r="O3" s="12" t="s">
        <v>30</v>
      </c>
      <c r="P3" s="12" t="s">
        <v>31</v>
      </c>
      <c r="Q3" s="20" t="s">
        <v>32</v>
      </c>
      <c r="R3" s="12" t="s">
        <v>33</v>
      </c>
      <c r="S3" s="21" t="str">
        <f>IFERROR(__xludf.DUMMYFUNCTION("iferror(REGEXEXTRACT(Q3, ""https?://(?:www\.)?([^./]+\.[^./]+)""), CONCAT(""Supplier "",P3))
"),"mytub.co")</f>
        <v>mytub.co</v>
      </c>
      <c r="T3" s="12" t="str">
        <f>IFERROR(__xludf.DUMMYFUNCTION("if(iferror(REGEXEXTRACT(Q3, ""https?://(?:www\.)?([^./]+\.[^./]+)""), ""No"" )= ""No"", ""No"", ""Yes"")"),"Yes")</f>
        <v>Yes</v>
      </c>
      <c r="U3" s="11"/>
      <c r="V3" s="11"/>
      <c r="W3" s="11"/>
    </row>
    <row r="4" hidden="1">
      <c r="A4" s="11"/>
      <c r="B4" s="12" t="s">
        <v>34</v>
      </c>
      <c r="C4" s="13">
        <v>4718011.0</v>
      </c>
      <c r="D4" s="12" t="s">
        <v>35</v>
      </c>
      <c r="E4" s="11"/>
      <c r="F4" s="12" t="s">
        <v>22</v>
      </c>
      <c r="G4" s="14">
        <v>1655.07</v>
      </c>
      <c r="H4" s="15">
        <v>1655.07</v>
      </c>
      <c r="I4" s="16" t="str">
        <f t="shared" si="1"/>
        <v/>
      </c>
      <c r="J4" s="17"/>
      <c r="K4" s="18" t="str">
        <f t="shared" si="2"/>
        <v/>
      </c>
      <c r="L4" s="19">
        <v>0.0</v>
      </c>
      <c r="M4" s="19">
        <v>0.0</v>
      </c>
      <c r="N4" s="12" t="s">
        <v>23</v>
      </c>
      <c r="O4" s="12" t="s">
        <v>36</v>
      </c>
      <c r="P4" s="12" t="s">
        <v>25</v>
      </c>
      <c r="Q4" s="20" t="s">
        <v>37</v>
      </c>
      <c r="R4" s="12" t="s">
        <v>38</v>
      </c>
      <c r="S4" s="21" t="str">
        <f>IFERROR(__xludf.DUMMYFUNCTION("iferror(REGEXEXTRACT(Q4, ""https?://(?:www\.)?([^./]+\.[^./]+)""), CONCAT(""Supplier "",P4))
"),"mytub.co")</f>
        <v>mytub.co</v>
      </c>
      <c r="T4" s="12" t="str">
        <f>IFERROR(__xludf.DUMMYFUNCTION("if(iferror(REGEXEXTRACT(Q4, ""https?://(?:www\.)?([^./]+\.[^./]+)""), ""No"" )= ""No"", ""No"", ""Yes"")"),"Yes")</f>
        <v>Yes</v>
      </c>
      <c r="U4" s="11"/>
      <c r="V4" s="11"/>
      <c r="W4" s="11"/>
    </row>
    <row r="5" hidden="1">
      <c r="A5" s="11"/>
      <c r="B5" s="12" t="s">
        <v>39</v>
      </c>
      <c r="C5" s="13">
        <v>4718012.0</v>
      </c>
      <c r="D5" s="12" t="s">
        <v>40</v>
      </c>
      <c r="E5" s="11"/>
      <c r="F5" s="12" t="s">
        <v>22</v>
      </c>
      <c r="G5" s="14">
        <v>5591.19</v>
      </c>
      <c r="H5" s="15">
        <v>5591.19</v>
      </c>
      <c r="I5" s="16" t="str">
        <f t="shared" si="1"/>
        <v/>
      </c>
      <c r="J5" s="17"/>
      <c r="K5" s="18" t="str">
        <f t="shared" si="2"/>
        <v/>
      </c>
      <c r="L5" s="19">
        <v>0.0</v>
      </c>
      <c r="M5" s="19">
        <v>0.0</v>
      </c>
      <c r="N5" s="12" t="s">
        <v>23</v>
      </c>
      <c r="O5" s="12" t="s">
        <v>41</v>
      </c>
      <c r="P5" s="12" t="s">
        <v>25</v>
      </c>
      <c r="Q5" s="20" t="s">
        <v>42</v>
      </c>
      <c r="R5" s="12" t="s">
        <v>43</v>
      </c>
      <c r="S5" s="21" t="str">
        <f>IFERROR(__xludf.DUMMYFUNCTION("iferror(REGEXEXTRACT(Q5, ""https?://(?:www\.)?([^./]+\.[^./]+)""), CONCAT(""Supplier "",P5))
"),"mytub.co")</f>
        <v>mytub.co</v>
      </c>
      <c r="T5" s="12" t="str">
        <f>IFERROR(__xludf.DUMMYFUNCTION("if(iferror(REGEXEXTRACT(Q5, ""https?://(?:www\.)?([^./]+\.[^./]+)""), ""No"" )= ""No"", ""No"", ""Yes"")"),"Yes")</f>
        <v>Yes</v>
      </c>
      <c r="U5" s="11"/>
      <c r="V5" s="11"/>
      <c r="W5" s="11"/>
    </row>
    <row r="6" hidden="1">
      <c r="A6" s="11"/>
      <c r="B6" s="12" t="s">
        <v>44</v>
      </c>
      <c r="C6" s="13">
        <v>4718013.0</v>
      </c>
      <c r="D6" s="12" t="s">
        <v>45</v>
      </c>
      <c r="E6" s="11"/>
      <c r="F6" s="12" t="s">
        <v>22</v>
      </c>
      <c r="G6" s="14">
        <v>6255.67</v>
      </c>
      <c r="H6" s="15">
        <v>6255.67</v>
      </c>
      <c r="I6" s="16" t="str">
        <f t="shared" si="1"/>
        <v/>
      </c>
      <c r="J6" s="17"/>
      <c r="K6" s="18" t="str">
        <f t="shared" si="2"/>
        <v/>
      </c>
      <c r="L6" s="19">
        <v>0.0</v>
      </c>
      <c r="M6" s="19">
        <v>0.0</v>
      </c>
      <c r="N6" s="12" t="s">
        <v>23</v>
      </c>
      <c r="O6" s="12" t="s">
        <v>46</v>
      </c>
      <c r="P6" s="12" t="s">
        <v>25</v>
      </c>
      <c r="Q6" s="20" t="s">
        <v>47</v>
      </c>
      <c r="R6" s="12" t="s">
        <v>48</v>
      </c>
      <c r="S6" s="21" t="str">
        <f>IFERROR(__xludf.DUMMYFUNCTION("iferror(REGEXEXTRACT(Q6, ""https?://(?:www\.)?([^./]+\.[^./]+)""), CONCAT(""Supplier "",P6))
"),"mytub.co")</f>
        <v>mytub.co</v>
      </c>
      <c r="T6" s="12" t="str">
        <f>IFERROR(__xludf.DUMMYFUNCTION("if(iferror(REGEXEXTRACT(Q6, ""https?://(?:www\.)?([^./]+\.[^./]+)""), ""No"" )= ""No"", ""No"", ""Yes"")"),"Yes")</f>
        <v>Yes</v>
      </c>
      <c r="U6" s="11"/>
      <c r="V6" s="11"/>
      <c r="W6" s="11"/>
    </row>
    <row r="7" hidden="1">
      <c r="A7" s="11"/>
      <c r="B7" s="12" t="s">
        <v>49</v>
      </c>
      <c r="C7" s="13">
        <v>4718014.0</v>
      </c>
      <c r="D7" s="12" t="s">
        <v>50</v>
      </c>
      <c r="E7" s="11"/>
      <c r="F7" s="12" t="s">
        <v>22</v>
      </c>
      <c r="G7" s="14">
        <v>5169.52</v>
      </c>
      <c r="H7" s="15">
        <v>5169.52</v>
      </c>
      <c r="I7" s="16" t="str">
        <f t="shared" si="1"/>
        <v/>
      </c>
      <c r="J7" s="17"/>
      <c r="K7" s="18" t="str">
        <f t="shared" si="2"/>
        <v/>
      </c>
      <c r="L7" s="19">
        <v>0.0</v>
      </c>
      <c r="M7" s="19">
        <v>0.0</v>
      </c>
      <c r="N7" s="12" t="s">
        <v>23</v>
      </c>
      <c r="O7" s="12" t="s">
        <v>51</v>
      </c>
      <c r="P7" s="12" t="s">
        <v>25</v>
      </c>
      <c r="Q7" s="20" t="s">
        <v>52</v>
      </c>
      <c r="R7" s="12" t="s">
        <v>53</v>
      </c>
      <c r="S7" s="21" t="str">
        <f>IFERROR(__xludf.DUMMYFUNCTION("iferror(REGEXEXTRACT(Q7, ""https?://(?:www\.)?([^./]+\.[^./]+)""), CONCAT(""Supplier "",P7))
"),"mytub.co")</f>
        <v>mytub.co</v>
      </c>
      <c r="T7" s="12" t="str">
        <f>IFERROR(__xludf.DUMMYFUNCTION("if(iferror(REGEXEXTRACT(Q7, ""https?://(?:www\.)?([^./]+\.[^./]+)""), ""No"" )= ""No"", ""No"", ""Yes"")"),"Yes")</f>
        <v>Yes</v>
      </c>
      <c r="U7" s="11"/>
      <c r="V7" s="11"/>
      <c r="W7" s="11"/>
    </row>
    <row r="8" hidden="1">
      <c r="A8" s="11"/>
      <c r="B8" s="12" t="s">
        <v>54</v>
      </c>
      <c r="C8" s="13">
        <v>4718015.0</v>
      </c>
      <c r="D8" s="12" t="s">
        <v>55</v>
      </c>
      <c r="E8" s="11"/>
      <c r="F8" s="12" t="s">
        <v>22</v>
      </c>
      <c r="G8" s="14">
        <v>6974.95</v>
      </c>
      <c r="H8" s="15">
        <v>6974.95</v>
      </c>
      <c r="I8" s="16" t="str">
        <f t="shared" si="1"/>
        <v/>
      </c>
      <c r="J8" s="17"/>
      <c r="K8" s="18" t="str">
        <f t="shared" si="2"/>
        <v/>
      </c>
      <c r="L8" s="19">
        <v>0.0</v>
      </c>
      <c r="M8" s="19">
        <v>0.0</v>
      </c>
      <c r="N8" s="12" t="s">
        <v>23</v>
      </c>
      <c r="O8" s="12" t="s">
        <v>56</v>
      </c>
      <c r="P8" s="12" t="s">
        <v>25</v>
      </c>
      <c r="Q8" s="20" t="s">
        <v>57</v>
      </c>
      <c r="R8" s="12" t="s">
        <v>58</v>
      </c>
      <c r="S8" s="21" t="str">
        <f>IFERROR(__xludf.DUMMYFUNCTION("iferror(REGEXEXTRACT(Q8, ""https?://(?:www\.)?([^./]+\.[^./]+)""), CONCAT(""Supplier "",P8))
"),"mytub.co")</f>
        <v>mytub.co</v>
      </c>
      <c r="T8" s="12" t="str">
        <f>IFERROR(__xludf.DUMMYFUNCTION("if(iferror(REGEXEXTRACT(Q8, ""https?://(?:www\.)?([^./]+\.[^./]+)""), ""No"" )= ""No"", ""No"", ""Yes"")"),"Yes")</f>
        <v>Yes</v>
      </c>
      <c r="U8" s="11"/>
      <c r="V8" s="11"/>
      <c r="W8" s="11"/>
    </row>
    <row r="9" hidden="1">
      <c r="A9" s="11"/>
      <c r="B9" s="12" t="s">
        <v>59</v>
      </c>
      <c r="C9" s="13">
        <v>4718016.0</v>
      </c>
      <c r="D9" s="12" t="s">
        <v>60</v>
      </c>
      <c r="E9" s="11"/>
      <c r="F9" s="12" t="s">
        <v>22</v>
      </c>
      <c r="G9" s="14">
        <v>5833.96</v>
      </c>
      <c r="H9" s="15">
        <v>5833.96</v>
      </c>
      <c r="I9" s="16" t="str">
        <f t="shared" si="1"/>
        <v/>
      </c>
      <c r="J9" s="17"/>
      <c r="K9" s="18" t="str">
        <f t="shared" si="2"/>
        <v/>
      </c>
      <c r="L9" s="19">
        <v>0.0</v>
      </c>
      <c r="M9" s="19">
        <v>0.0</v>
      </c>
      <c r="N9" s="12" t="s">
        <v>23</v>
      </c>
      <c r="O9" s="12" t="s">
        <v>61</v>
      </c>
      <c r="P9" s="12" t="s">
        <v>25</v>
      </c>
      <c r="Q9" s="20" t="s">
        <v>62</v>
      </c>
      <c r="R9" s="12" t="s">
        <v>63</v>
      </c>
      <c r="S9" s="21" t="str">
        <f>IFERROR(__xludf.DUMMYFUNCTION("iferror(REGEXEXTRACT(Q9, ""https?://(?:www\.)?([^./]+\.[^./]+)""), CONCAT(""Supplier "",P9))
"),"mytub.co")</f>
        <v>mytub.co</v>
      </c>
      <c r="T9" s="12" t="str">
        <f>IFERROR(__xludf.DUMMYFUNCTION("if(iferror(REGEXEXTRACT(Q9, ""https?://(?:www\.)?([^./]+\.[^./]+)""), ""No"" )= ""No"", ""No"", ""Yes"")"),"Yes")</f>
        <v>Yes</v>
      </c>
      <c r="U9" s="11"/>
      <c r="V9" s="11"/>
      <c r="W9" s="11"/>
    </row>
    <row r="10">
      <c r="A10" s="11"/>
      <c r="B10" s="12" t="s">
        <v>64</v>
      </c>
      <c r="C10" s="13" t="s">
        <v>64</v>
      </c>
      <c r="D10" s="12" t="s">
        <v>65</v>
      </c>
      <c r="E10" s="11"/>
      <c r="F10" s="12" t="s">
        <v>66</v>
      </c>
      <c r="G10" s="14">
        <v>140.94</v>
      </c>
      <c r="H10" s="22" t="s">
        <v>67</v>
      </c>
      <c r="I10" s="16" t="str">
        <f t="shared" si="1"/>
        <v/>
      </c>
      <c r="J10" s="17"/>
      <c r="K10" s="18" t="str">
        <f t="shared" si="2"/>
        <v/>
      </c>
      <c r="L10" s="19">
        <v>0.0</v>
      </c>
      <c r="M10" s="19">
        <v>0.0</v>
      </c>
      <c r="N10" s="12" t="s">
        <v>23</v>
      </c>
      <c r="O10" s="12" t="s">
        <v>68</v>
      </c>
      <c r="P10" s="12" t="s">
        <v>69</v>
      </c>
      <c r="Q10" s="20" t="s">
        <v>70</v>
      </c>
      <c r="R10" s="12" t="s">
        <v>70</v>
      </c>
      <c r="S10" s="21" t="str">
        <f>IFERROR(__xludf.DUMMYFUNCTION("iferror(REGEXEXTRACT(Q10, ""https?://(?:www\.)?([^./]+\.[^./]+)""), CONCAT(""Supplier "",P10))
"),"screwfix.com")</f>
        <v>screwfix.com</v>
      </c>
      <c r="T10" s="12" t="str">
        <f>IFERROR(__xludf.DUMMYFUNCTION("if(iferror(REGEXEXTRACT(Q10, ""https?://(?:www\.)?([^./]+\.[^./]+)""), ""No"" )= ""No"", ""No"", ""Yes"")"),"Yes")</f>
        <v>Yes</v>
      </c>
      <c r="U10" s="11"/>
      <c r="V10" s="11"/>
      <c r="W10" s="11"/>
    </row>
    <row r="11">
      <c r="A11" s="11"/>
      <c r="B11" s="12" t="s">
        <v>71</v>
      </c>
      <c r="C11" s="13" t="s">
        <v>71</v>
      </c>
      <c r="D11" s="12" t="s">
        <v>72</v>
      </c>
      <c r="E11" s="11"/>
      <c r="F11" s="12" t="s">
        <v>73</v>
      </c>
      <c r="G11" s="14">
        <v>1.32</v>
      </c>
      <c r="H11" s="22" t="s">
        <v>67</v>
      </c>
      <c r="I11" s="14">
        <v>1.32</v>
      </c>
      <c r="J11" s="17"/>
      <c r="K11" s="23">
        <f t="shared" si="2"/>
        <v>0</v>
      </c>
      <c r="L11" s="19">
        <v>0.0</v>
      </c>
      <c r="M11" s="19">
        <v>0.05</v>
      </c>
      <c r="N11" s="12" t="s">
        <v>74</v>
      </c>
      <c r="O11" s="12" t="s">
        <v>75</v>
      </c>
      <c r="P11" s="12" t="s">
        <v>76</v>
      </c>
      <c r="Q11" s="20" t="s">
        <v>77</v>
      </c>
      <c r="R11" s="12" t="s">
        <v>78</v>
      </c>
      <c r="S11" s="21" t="str">
        <f>IFERROR(__xludf.DUMMYFUNCTION("iferror(REGEXEXTRACT(Q11, ""https?://(?:www\.)?([^./]+\.[^./]+)""), CONCAT(""Supplier "",P11))
"),"screwfix.com")</f>
        <v>screwfix.com</v>
      </c>
      <c r="T11" s="12" t="str">
        <f>IFERROR(__xludf.DUMMYFUNCTION("if(iferror(REGEXEXTRACT(Q11, ""https?://(?:www\.)?([^./]+\.[^./]+)""), ""No"" )= ""No"", ""No"", ""Yes"")"),"Yes")</f>
        <v>Yes</v>
      </c>
      <c r="U11" s="11"/>
      <c r="V11" s="11"/>
      <c r="W11" s="11"/>
    </row>
    <row r="12">
      <c r="A12" s="11"/>
      <c r="B12" s="12" t="s">
        <v>79</v>
      </c>
      <c r="C12" s="13" t="s">
        <v>79</v>
      </c>
      <c r="D12" s="12" t="s">
        <v>80</v>
      </c>
      <c r="E12" s="11"/>
      <c r="F12" s="12" t="s">
        <v>81</v>
      </c>
      <c r="G12" s="14">
        <v>14.65</v>
      </c>
      <c r="H12" s="22" t="s">
        <v>67</v>
      </c>
      <c r="I12" s="16" t="str">
        <f>IF(J12="","",J12/1.2)</f>
        <v/>
      </c>
      <c r="J12" s="17"/>
      <c r="K12" s="18" t="str">
        <f t="shared" si="2"/>
        <v/>
      </c>
      <c r="L12" s="19">
        <v>0.0</v>
      </c>
      <c r="M12" s="19">
        <v>0.05</v>
      </c>
      <c r="N12" s="12" t="s">
        <v>82</v>
      </c>
      <c r="O12" s="12" t="s">
        <v>83</v>
      </c>
      <c r="P12" s="12" t="s">
        <v>76</v>
      </c>
      <c r="Q12" s="20" t="s">
        <v>84</v>
      </c>
      <c r="R12" s="11"/>
      <c r="S12" s="21" t="str">
        <f>IFERROR(__xludf.DUMMYFUNCTION("iferror(REGEXEXTRACT(Q12, ""https?://(?:www\.)?([^./]+\.[^./]+)""), CONCAT(""Supplier "",P12))
"),"screwfix.com")</f>
        <v>screwfix.com</v>
      </c>
      <c r="T12" s="12" t="str">
        <f>IFERROR(__xludf.DUMMYFUNCTION("if(iferror(REGEXEXTRACT(Q12, ""https?://(?:www\.)?([^./]+\.[^./]+)""), ""No"" )= ""No"", ""No"", ""Yes"")"),"Yes")</f>
        <v>Yes</v>
      </c>
      <c r="U12" s="11"/>
      <c r="V12" s="11"/>
      <c r="W12" s="11"/>
    </row>
    <row r="13">
      <c r="A13" s="11"/>
      <c r="B13" s="12"/>
      <c r="C13" s="13"/>
      <c r="D13" s="12"/>
      <c r="E13" s="11"/>
      <c r="F13" s="12"/>
      <c r="G13" s="14"/>
      <c r="H13" s="22"/>
      <c r="I13" s="16"/>
      <c r="J13" s="17"/>
      <c r="K13" s="18"/>
      <c r="L13" s="19"/>
      <c r="M13" s="19"/>
      <c r="N13" s="12"/>
      <c r="O13" s="12"/>
      <c r="P13" s="12"/>
      <c r="Q13" s="20"/>
      <c r="R13" s="12"/>
      <c r="S13" s="24"/>
      <c r="T13" s="12"/>
      <c r="U13" s="11"/>
      <c r="V13" s="11"/>
      <c r="W13" s="25"/>
    </row>
    <row r="14">
      <c r="A14" s="11"/>
      <c r="B14" s="12"/>
      <c r="C14" s="13"/>
      <c r="D14" s="12"/>
      <c r="E14" s="11"/>
      <c r="F14" s="12"/>
      <c r="G14" s="14"/>
      <c r="H14" s="22"/>
      <c r="I14" s="16"/>
      <c r="J14" s="17"/>
      <c r="K14" s="18"/>
      <c r="L14" s="19"/>
      <c r="M14" s="19"/>
      <c r="N14" s="12"/>
      <c r="O14" s="12"/>
      <c r="P14" s="12"/>
      <c r="Q14" s="20"/>
      <c r="R14" s="12"/>
      <c r="S14" s="24"/>
      <c r="T14" s="12"/>
      <c r="U14" s="11"/>
      <c r="V14" s="11"/>
      <c r="W14" s="11"/>
    </row>
    <row r="15">
      <c r="A15" s="11"/>
      <c r="B15" s="12"/>
      <c r="C15" s="13"/>
      <c r="D15" s="12"/>
      <c r="E15" s="11"/>
      <c r="F15" s="12"/>
      <c r="G15" s="14"/>
      <c r="H15" s="22"/>
      <c r="I15" s="14"/>
      <c r="J15" s="17"/>
      <c r="K15" s="23"/>
      <c r="L15" s="19"/>
      <c r="M15" s="19"/>
      <c r="N15" s="12"/>
      <c r="O15" s="12"/>
      <c r="P15" s="12"/>
      <c r="Q15" s="20"/>
      <c r="R15" s="12"/>
      <c r="S15" s="24"/>
      <c r="T15" s="12"/>
      <c r="U15" s="11"/>
      <c r="V15" s="11"/>
      <c r="W15" s="11"/>
    </row>
    <row r="16" hidden="1">
      <c r="A16" s="11"/>
      <c r="B16" s="12" t="s">
        <v>85</v>
      </c>
      <c r="C16" s="13" t="s">
        <v>85</v>
      </c>
      <c r="D16" s="12" t="s">
        <v>86</v>
      </c>
      <c r="E16" s="11"/>
      <c r="F16" s="12" t="s">
        <v>66</v>
      </c>
      <c r="G16" s="14">
        <v>88.5</v>
      </c>
      <c r="H16" s="15">
        <v>88.5</v>
      </c>
      <c r="I16" s="16" t="str">
        <f>IF(J16="","",J16/1.2)</f>
        <v/>
      </c>
      <c r="J16" s="17"/>
      <c r="K16" s="18" t="str">
        <f t="shared" ref="K16:K17" si="3">IF(I16="","",(SUM(I16-G16)/G16))</f>
        <v/>
      </c>
      <c r="L16" s="19">
        <v>0.0</v>
      </c>
      <c r="M16" s="19">
        <v>0.0</v>
      </c>
      <c r="N16" s="12" t="s">
        <v>87</v>
      </c>
      <c r="O16" s="12" t="s">
        <v>88</v>
      </c>
      <c r="P16" s="12" t="s">
        <v>89</v>
      </c>
      <c r="Q16" s="20" t="s">
        <v>90</v>
      </c>
      <c r="R16" s="12" t="s">
        <v>91</v>
      </c>
      <c r="S16" s="21" t="str">
        <f>IFERROR(__xludf.DUMMYFUNCTION("iferror(REGEXEXTRACT(Q16, ""https?://(?:www\.)?([^./]+\.[^./]+)""), CONCAT(""Supplier "",P16))
"),"cef.co")</f>
        <v>cef.co</v>
      </c>
      <c r="T16" s="12" t="str">
        <f>IFERROR(__xludf.DUMMYFUNCTION("if(iferror(REGEXEXTRACT(Q16, ""https?://(?:www\.)?([^./]+\.[^./]+)""), ""No"" )= ""No"", ""No"", ""Yes"")"),"Yes")</f>
        <v>Yes</v>
      </c>
      <c r="U16" s="11"/>
      <c r="V16" s="11"/>
      <c r="W16" s="11"/>
    </row>
    <row r="17" hidden="1">
      <c r="A17" s="11"/>
      <c r="B17" s="12" t="s">
        <v>92</v>
      </c>
      <c r="C17" s="13" t="s">
        <v>92</v>
      </c>
      <c r="D17" s="12" t="s">
        <v>93</v>
      </c>
      <c r="E17" s="11"/>
      <c r="F17" s="12" t="s">
        <v>66</v>
      </c>
      <c r="G17" s="14">
        <v>1.1</v>
      </c>
      <c r="H17" s="15">
        <v>1.16</v>
      </c>
      <c r="I17" s="14">
        <v>1.1</v>
      </c>
      <c r="J17" s="17"/>
      <c r="K17" s="23">
        <f t="shared" si="3"/>
        <v>0</v>
      </c>
      <c r="L17" s="19">
        <v>0.0</v>
      </c>
      <c r="M17" s="19">
        <v>0.0</v>
      </c>
      <c r="N17" s="12" t="s">
        <v>87</v>
      </c>
      <c r="O17" s="12" t="s">
        <v>94</v>
      </c>
      <c r="P17" s="12" t="s">
        <v>89</v>
      </c>
      <c r="Q17" s="20" t="s">
        <v>95</v>
      </c>
      <c r="R17" s="12" t="s">
        <v>96</v>
      </c>
      <c r="S17" s="21" t="str">
        <f>IFERROR(__xludf.DUMMYFUNCTION("iferror(REGEXEXTRACT(Q17, ""https?://(?:www\.)?([^./]+\.[^./]+)""), CONCAT(""Supplier "",P17))
"),"cef.co")</f>
        <v>cef.co</v>
      </c>
      <c r="T17" s="12" t="str">
        <f>IFERROR(__xludf.DUMMYFUNCTION("if(iferror(REGEXEXTRACT(Q17, ""https?://(?:www\.)?([^./]+\.[^./]+)""), ""No"" )= ""No"", ""No"", ""Yes"")"),"Yes")</f>
        <v>Yes</v>
      </c>
      <c r="U17" s="11"/>
      <c r="V17" s="11"/>
      <c r="W17" s="11"/>
    </row>
    <row r="18" hidden="1">
      <c r="A18" s="11"/>
      <c r="B18" s="12"/>
      <c r="C18" s="13"/>
      <c r="D18" s="12"/>
      <c r="E18" s="11"/>
      <c r="F18" s="12"/>
      <c r="G18" s="14"/>
      <c r="H18" s="22"/>
      <c r="I18" s="16"/>
      <c r="J18" s="17"/>
      <c r="K18" s="18"/>
      <c r="L18" s="19"/>
      <c r="M18" s="19"/>
      <c r="N18" s="12"/>
      <c r="O18" s="12"/>
      <c r="P18" s="12"/>
      <c r="Q18" s="20"/>
      <c r="R18" s="12"/>
      <c r="S18" s="24"/>
      <c r="T18" s="12"/>
      <c r="U18" s="11"/>
      <c r="V18" s="11"/>
      <c r="W18" s="11"/>
    </row>
    <row r="19" hidden="1">
      <c r="A19" s="11"/>
      <c r="B19" s="12"/>
      <c r="C19" s="13"/>
      <c r="D19" s="12"/>
      <c r="E19" s="11"/>
      <c r="F19" s="12"/>
      <c r="G19" s="14"/>
      <c r="H19" s="22"/>
      <c r="I19" s="14"/>
      <c r="J19" s="17"/>
      <c r="K19" s="23"/>
      <c r="L19" s="19"/>
      <c r="M19" s="19"/>
      <c r="N19" s="12"/>
      <c r="O19" s="12"/>
      <c r="P19" s="12"/>
      <c r="Q19" s="20"/>
      <c r="R19" s="12"/>
      <c r="S19" s="24"/>
      <c r="T19" s="12"/>
      <c r="U19" s="11"/>
      <c r="V19" s="11"/>
      <c r="W19" s="11"/>
    </row>
    <row r="20" hidden="1">
      <c r="A20" s="11"/>
      <c r="B20" s="12" t="s">
        <v>97</v>
      </c>
      <c r="C20" s="13" t="s">
        <v>97</v>
      </c>
      <c r="D20" s="12" t="s">
        <v>98</v>
      </c>
      <c r="E20" s="11"/>
      <c r="F20" s="12" t="s">
        <v>22</v>
      </c>
      <c r="G20" s="14">
        <v>2.45</v>
      </c>
      <c r="H20" s="22" t="s">
        <v>67</v>
      </c>
      <c r="I20" s="16" t="str">
        <f t="shared" ref="I20:I22" si="4">IF(J20="","",J20/1.2)</f>
        <v/>
      </c>
      <c r="J20" s="17"/>
      <c r="K20" s="18" t="str">
        <f t="shared" ref="K20:K22" si="5">IF(I20="","",(SUM(I20-G20)/G20))</f>
        <v/>
      </c>
      <c r="L20" s="19">
        <v>0.0</v>
      </c>
      <c r="M20" s="19">
        <v>0.0</v>
      </c>
      <c r="N20" s="12" t="s">
        <v>87</v>
      </c>
      <c r="O20" s="12" t="s">
        <v>99</v>
      </c>
      <c r="P20" s="12" t="s">
        <v>100</v>
      </c>
      <c r="Q20" s="20" t="s">
        <v>101</v>
      </c>
      <c r="R20" s="11"/>
      <c r="S20" s="21" t="str">
        <f>IFERROR(__xludf.DUMMYFUNCTION("iferror(REGEXEXTRACT(Q20, ""https?://(?:www\.)?([^./]+\.[^./]+)""), CONCAT(""Supplier "",P20))
"),"superlecdirect.com")</f>
        <v>superlecdirect.com</v>
      </c>
      <c r="T20" s="12" t="str">
        <f>IFERROR(__xludf.DUMMYFUNCTION("if(iferror(REGEXEXTRACT(Q20, ""https?://(?:www\.)?([^./]+\.[^./]+)""), ""No"" )= ""No"", ""No"", ""Yes"")"),"Yes")</f>
        <v>Yes</v>
      </c>
      <c r="U20" s="11"/>
      <c r="V20" s="11"/>
      <c r="W20" s="11"/>
    </row>
    <row r="21" hidden="1">
      <c r="A21" s="11"/>
      <c r="B21" s="12" t="s">
        <v>102</v>
      </c>
      <c r="C21" s="13" t="s">
        <v>102</v>
      </c>
      <c r="D21" s="12" t="s">
        <v>103</v>
      </c>
      <c r="E21" s="11"/>
      <c r="F21" s="12" t="s">
        <v>73</v>
      </c>
      <c r="G21" s="14">
        <v>6.74</v>
      </c>
      <c r="H21" s="22" t="s">
        <v>67</v>
      </c>
      <c r="I21" s="16" t="str">
        <f t="shared" si="4"/>
        <v/>
      </c>
      <c r="J21" s="17"/>
      <c r="K21" s="18" t="str">
        <f t="shared" si="5"/>
        <v/>
      </c>
      <c r="L21" s="19">
        <v>0.0</v>
      </c>
      <c r="M21" s="19">
        <v>0.1</v>
      </c>
      <c r="N21" s="12" t="s">
        <v>87</v>
      </c>
      <c r="O21" s="12" t="s">
        <v>104</v>
      </c>
      <c r="P21" s="12" t="s">
        <v>105</v>
      </c>
      <c r="Q21" s="20" t="s">
        <v>106</v>
      </c>
      <c r="R21" s="12" t="s">
        <v>107</v>
      </c>
      <c r="S21" s="21" t="str">
        <f>IFERROR(__xludf.DUMMYFUNCTION("iferror(REGEXEXTRACT(Q21, ""https?://(?:www\.)?([^./]+\.[^./]+)""), CONCAT(""Supplier "",P21))
"),"superlecdirect.com")</f>
        <v>superlecdirect.com</v>
      </c>
      <c r="T21" s="12" t="str">
        <f>IFERROR(__xludf.DUMMYFUNCTION("if(iferror(REGEXEXTRACT(Q21, ""https?://(?:www\.)?([^./]+\.[^./]+)""), ""No"" )= ""No"", ""No"", ""Yes"")"),"Yes")</f>
        <v>Yes</v>
      </c>
      <c r="U21" s="11"/>
      <c r="V21" s="11"/>
      <c r="W21" s="11"/>
    </row>
    <row r="22" hidden="1">
      <c r="A22" s="11"/>
      <c r="B22" s="12" t="s">
        <v>108</v>
      </c>
      <c r="C22" s="13" t="s">
        <v>108</v>
      </c>
      <c r="D22" s="12" t="s">
        <v>109</v>
      </c>
      <c r="E22" s="11"/>
      <c r="F22" s="12" t="s">
        <v>73</v>
      </c>
      <c r="G22" s="14">
        <v>10.0</v>
      </c>
      <c r="H22" s="22" t="s">
        <v>67</v>
      </c>
      <c r="I22" s="16" t="str">
        <f t="shared" si="4"/>
        <v/>
      </c>
      <c r="J22" s="17"/>
      <c r="K22" s="18" t="str">
        <f t="shared" si="5"/>
        <v/>
      </c>
      <c r="L22" s="19">
        <v>0.0</v>
      </c>
      <c r="M22" s="19">
        <v>0.1</v>
      </c>
      <c r="N22" s="12" t="s">
        <v>87</v>
      </c>
      <c r="O22" s="12" t="s">
        <v>110</v>
      </c>
      <c r="P22" s="12" t="s">
        <v>105</v>
      </c>
      <c r="Q22" s="20" t="s">
        <v>111</v>
      </c>
      <c r="R22" s="12" t="s">
        <v>112</v>
      </c>
      <c r="S22" s="21" t="str">
        <f>IFERROR(__xludf.DUMMYFUNCTION("iferror(REGEXEXTRACT(Q22, ""https?://(?:www\.)?([^./]+\.[^./]+)""), CONCAT(""Supplier "",P22))
"),"superlecdirect.com")</f>
        <v>superlecdirect.com</v>
      </c>
      <c r="T22" s="12" t="str">
        <f>IFERROR(__xludf.DUMMYFUNCTION("if(iferror(REGEXEXTRACT(Q22, ""https?://(?:www\.)?([^./]+\.[^./]+)""), ""No"" )= ""No"", ""No"", ""Yes"")"),"Yes")</f>
        <v>Yes</v>
      </c>
      <c r="U22" s="11"/>
      <c r="V22" s="11"/>
      <c r="W22" s="11"/>
    </row>
    <row r="23" hidden="1">
      <c r="A23" s="11"/>
      <c r="B23" s="12"/>
      <c r="C23" s="13"/>
      <c r="D23" s="12"/>
      <c r="E23" s="11"/>
      <c r="F23" s="12"/>
      <c r="G23" s="14"/>
      <c r="H23" s="22"/>
      <c r="I23" s="16"/>
      <c r="J23" s="17"/>
      <c r="K23" s="18"/>
      <c r="L23" s="19"/>
      <c r="M23" s="19"/>
      <c r="N23" s="12"/>
      <c r="O23" s="12"/>
      <c r="P23" s="12"/>
      <c r="Q23" s="20"/>
      <c r="R23" s="12"/>
      <c r="S23" s="24"/>
      <c r="T23" s="12"/>
      <c r="U23" s="11"/>
      <c r="V23" s="11"/>
      <c r="W23" s="11"/>
    </row>
    <row r="24" hidden="1">
      <c r="A24" s="11"/>
      <c r="B24" s="12"/>
      <c r="C24" s="13"/>
      <c r="D24" s="12"/>
      <c r="E24" s="11"/>
      <c r="F24" s="12"/>
      <c r="G24" s="14"/>
      <c r="H24" s="22"/>
      <c r="I24" s="16"/>
      <c r="J24" s="17"/>
      <c r="K24" s="18"/>
      <c r="L24" s="19"/>
      <c r="M24" s="19"/>
      <c r="N24" s="12"/>
      <c r="O24" s="12"/>
      <c r="P24" s="12"/>
      <c r="Q24" s="20"/>
      <c r="R24" s="12"/>
      <c r="S24" s="24"/>
      <c r="T24" s="12"/>
      <c r="U24" s="11"/>
      <c r="V24" s="11"/>
      <c r="W24" s="11"/>
    </row>
    <row r="25">
      <c r="A25" s="11"/>
      <c r="B25" s="12"/>
      <c r="C25" s="13"/>
      <c r="D25" s="12"/>
      <c r="E25" s="11"/>
      <c r="F25" s="12"/>
      <c r="G25" s="14"/>
      <c r="H25" s="22"/>
      <c r="I25" s="16"/>
      <c r="J25" s="17"/>
      <c r="K25" s="18"/>
      <c r="L25" s="19"/>
      <c r="M25" s="19"/>
      <c r="N25" s="12"/>
      <c r="O25" s="12"/>
      <c r="P25" s="12"/>
      <c r="Q25" s="20"/>
      <c r="R25" s="12"/>
      <c r="S25" s="24"/>
      <c r="T25" s="12"/>
      <c r="U25" s="11"/>
      <c r="V25" s="11"/>
      <c r="W25" s="11"/>
    </row>
    <row r="26">
      <c r="A26" s="11"/>
      <c r="B26" s="12"/>
      <c r="C26" s="13"/>
      <c r="D26" s="12"/>
      <c r="E26" s="11"/>
      <c r="F26" s="12"/>
      <c r="G26" s="14"/>
      <c r="H26" s="22"/>
      <c r="I26" s="16"/>
      <c r="J26" s="17"/>
      <c r="K26" s="18"/>
      <c r="L26" s="19"/>
      <c r="M26" s="19"/>
      <c r="N26" s="12"/>
      <c r="O26" s="12"/>
      <c r="P26" s="12"/>
      <c r="Q26" s="20"/>
      <c r="R26" s="12"/>
      <c r="S26" s="24"/>
      <c r="T26" s="12"/>
      <c r="U26" s="11"/>
      <c r="V26" s="11"/>
      <c r="W26" s="11"/>
    </row>
  </sheetData>
  <autoFilter ref="$A$1:$Z$24">
    <filterColumn colId="18">
      <filters>
        <filter val="screwfix.com"/>
      </filters>
    </filterColumn>
  </autoFilter>
  <hyperlinks>
    <hyperlink r:id="rId1" ref="Q17"/>
  </hyperlinks>
  <drawing r:id="rId2"/>
</worksheet>
</file>