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dood\Projects\Test\Python Tests\Scheduler Tasks\data\expected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B6"/>
  <c r="B5"/>
  <c r="B4"/>
  <c r="B3"/>
  <c r="B2"/>
</calcChain>
</file>

<file path=xl/sharedStrings.xml><?xml version="1.0" encoding="utf-8"?>
<sst xmlns="http://schemas.openxmlformats.org/spreadsheetml/2006/main">
  <si>
    <t>sl#</t>
  </si>
  <si>
    <t>site</t>
  </si>
  <si>
    <t>url</t>
  </si>
  <si>
    <t>expected_price_incl_vat</t>
  </si>
  <si>
    <t>expected_labels_csv</t>
  </si>
  <si>
    <t>https://www.colglo.co.uk/product/galv-mild-steel-plug-square-head-to-bsen10241/</t>
  </si>
  <si>
    <t>size</t>
  </si>
  <si>
    <t>https://www.justdoorsuk.com/window-order.php?product=white-window-style-1</t>
  </si>
  <si>
    <t>Frame Width (mm), Frame Height (mm), No, 85mm Stub, Standard 150mm, 180mm, White, Oak Both Sides, Oak/White, Rosewood Both Sides, Rosewood/White, Anthracite Grev Both Sides, Anthracite Grev/White, Chartwell/White, Cream Both Sides, Cream/White, Black-Brown Both Sides, Black-Brown/White, Whitegrain Both Sides, Irish Oak Both Sides, Smooth Anthracite Grey/White, Agate Grey/White, Clear, Obscure, Standard A Rated, A+ Rated Energy Upgrade, A++ Triple Glazed, Toughened Glass, Laminated Glass, Trickle Vents, Fit Pack</t>
  </si>
  <si>
    <t>https://www.pipelagging.com/rockwool-rocklap-1m-foil-backed-pipe-insulation-lagging</t>
  </si>
  <si>
    <t>Pipe Outside Diameter mm, Insulation Thickness mm</t>
  </si>
  <si>
    <t>https://www.roofingsuperstore.co.uk/product/manthorpe-gw291-intermediate-tray-rh-317mm-x-155mm.html</t>
  </si>
  <si>
    <t>https://www.metals4u.co.uk/materials/stainless-steel/stainless-steel-round/1694-p</t>
  </si>
  <si>
    <t>Length</t>
  </si>
</sst>
</file>

<file path=xl/styles.xml><?xml version="1.0" encoding="utf-8"?>
<styleSheet xmlns="http://schemas.openxmlformats.org/spreadsheetml/2006/main">
  <fonts count="1"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selection activeCell="E15" sqref="E15"/>
    </sheetView>
  </sheetViews>
  <sheetFormatPr defaultRowHeight="12.75"/>
  <cols>
    <col min="2" max="2" width="24.85547" customWidth="1"/>
    <col min="3" max="3" width="70.57031" bestFit="1" customWidth="1"/>
    <col min="4" max="4" width="23.28516" customWidth="1"/>
    <col min="5" max="5" width="255.7109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tr">
        <f t="shared" ref="B2:B3" si="0">LOWER(IFERROR(IF(LEFT(MID(TRIM(C2),FIND("//",TRIM(C2)&amp;"//")+2,999),4)="www.",MID(MID(TRIM(C2),FIND("//",TRIM(C2)&amp;"//")+2,999),5,FIND("/",MID(TRIM(C2),FIND("//",TRIM(C2)&amp;"//")+2,999)&amp;"/")-5),LEFT(MID(TRIM(C2),FIND("//",TRIM(C2)&amp;"//")+2,999),FIND("/",MID(TRIM(C2),FIND("//",TRIM(C2)&amp;"//")+2,999)&amp;"/")-1)),""))</f>
        <v>colglo.co.uk</v>
      </c>
      <c r="C2" t="s">
        <v>5</v>
      </c>
      <c r="D2">
        <v>1.4399999999999999</v>
      </c>
      <c r="E2" t="s">
        <v>6</v>
      </c>
    </row>
    <row r="3">
      <c r="A3">
        <v>2</v>
      </c>
      <c r="B3" t="str">
        <f t="shared" si="0"/>
        <v>justdoorsuk.com</v>
      </c>
      <c r="C3" t="s">
        <v>7</v>
      </c>
      <c r="D3">
        <v>65</v>
      </c>
      <c r="E3" t="s">
        <v>8</v>
      </c>
    </row>
    <row r="4">
      <c r="A4">
        <v>3</v>
      </c>
      <c r="B4" t="str">
        <f>LOWER(IFERROR(IF(LEFT(MID(TRIM(C4),FIND("//",TRIM(C4)&amp;"//")+2,999),4)="www.",MID(MID(TRIM(C4),FIND("//",TRIM(C4)&amp;"//")+2,999),5,FIND("/",MID(TRIM(C4),FIND("//",TRIM(C4)&amp;"//")+2,999)&amp;"/")-5),LEFT(MID(TRIM(C4),FIND("//",TRIM(C4)&amp;"//")+2,999),FIND("/",MID(TRIM(C4),FIND("//",TRIM(C4)&amp;"//")+2,999)&amp;"/")-1)),""))</f>
        <v>pipelagging.com</v>
      </c>
      <c r="C4" t="s">
        <v>9</v>
      </c>
      <c r="D4">
        <v>5.8200000000000003</v>
      </c>
      <c r="E4" t="s">
        <v>10</v>
      </c>
    </row>
    <row r="5">
      <c r="A5">
        <v>4</v>
      </c>
      <c r="B5" t="str">
        <f>LOWER(IFERROR(IF(LEFT(MID(TRIM(C5),FIND("//",TRIM(C5)&amp;"//")+2,999),4)="www.",MID(MID(TRIM(C5),FIND("//",TRIM(C5)&amp;"//")+2,999),5,FIND("/",MID(TRIM(C5),FIND("//",TRIM(C5)&amp;"//")+2,999)&amp;"/")-5),LEFT(MID(TRIM(C5),FIND("//",TRIM(C5)&amp;"//")+2,999),FIND("/",MID(TRIM(C5),FIND("//",TRIM(C5)&amp;"//")+2,999)&amp;"/")-1)),""))</f>
        <v>roofingsuperstore.co.uk</v>
      </c>
      <c r="C5" t="s">
        <v>11</v>
      </c>
      <c r="D5">
        <v>3.1200000000000001</v>
      </c>
    </row>
    <row r="6">
      <c r="A6">
        <v>5</v>
      </c>
      <c r="B6" t="str">
        <f>LOWER(IFERROR(IF(LEFT(MID(TRIM(C6),FIND("//",TRIM(C6)&amp;"//")+2,999),4)="www.",MID(MID(TRIM(C6),FIND("//",TRIM(C6)&amp;"//")+2,999),5,FIND("/",MID(TRIM(C6),FIND("//",TRIM(C6)&amp;"//")+2,999)&amp;"/")-5),LEFT(MID(TRIM(C6),FIND("//",TRIM(C6)&amp;"//")+2,999),FIND("/",MID(TRIM(C6),FIND("//",TRIM(C6)&amp;"//")+2,999)&amp;"/")-1)),""))</f>
        <v>metals4u.co.uk</v>
      </c>
      <c r="C6" t="s">
        <v>12</v>
      </c>
      <c r="D6">
        <v>14.34</v>
      </c>
      <c r="E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LPT1224\Wadood</cp:lastModifiedBy>
  <dcterms:created xsi:type="dcterms:W3CDTF">2026-03-23T12:37:30Z</dcterms:created>
  <dcterms:modified xsi:type="dcterms:W3CDTF">2026-03-26T11:56:13Z</dcterms:modified>
</cp:coreProperties>
</file>